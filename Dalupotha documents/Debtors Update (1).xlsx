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hidePivotFieldList="1"/>
  <bookViews>
    <workbookView windowWidth="23040" windowHeight="9000" tabRatio="872" firstSheet="5" activeTab="5"/>
  </bookViews>
  <sheets>
    <sheet name="Provision" sheetId="195" state="hidden" r:id="rId1"/>
    <sheet name="Nel" sheetId="210" state="hidden" r:id="rId2"/>
    <sheet name="Hal" sheetId="212" state="hidden" r:id="rId3"/>
    <sheet name="NEL - summary" sheetId="224" state="hidden" r:id="rId4"/>
    <sheet name="Nel - sum" sheetId="217" state="hidden" r:id="rId5"/>
    <sheet name="Kuru-Ageing" sheetId="229" r:id="rId6"/>
    <sheet name="HAL - summary" sheetId="225" state="hidden" r:id="rId7"/>
    <sheet name="HAL - sum" sheetId="222" state="hidden" r:id="rId8"/>
    <sheet name="Hin" sheetId="214" state="hidden" r:id="rId9"/>
    <sheet name="HIN - summary" sheetId="223" state="hidden" r:id="rId10"/>
    <sheet name="HIn - sum" sheetId="221" state="hidden" r:id="rId11"/>
    <sheet name="Kur" sheetId="209" state="hidden" r:id="rId12"/>
    <sheet name="KUR - summary" sheetId="227" state="hidden" r:id="rId13"/>
    <sheet name="Kur - sum" sheetId="220" state="hidden" r:id="rId14"/>
    <sheet name="Npw" sheetId="208" state="hidden" r:id="rId15"/>
    <sheet name="Kar" sheetId="203" state="hidden" r:id="rId16"/>
    <sheet name="NPW - summary" sheetId="226" state="hidden" r:id="rId17"/>
    <sheet name="NPW - sum" sheetId="218" state="hidden" r:id="rId18"/>
    <sheet name="KAR - sum" sheetId="219" state="hidden" r:id="rId19"/>
  </sheets>
  <definedNames>
    <definedName name="_xlnm._FilterDatabase" localSheetId="3" hidden="1">'NEL - summary'!$A$9:$P$41</definedName>
    <definedName name="_xlnm._FilterDatabase" localSheetId="4" hidden="1">'Nel - sum'!$A$9:$P$42</definedName>
    <definedName name="_xlnm._FilterDatabase" localSheetId="6" hidden="1">'HAL - summary'!$A$8:$P$64</definedName>
    <definedName name="_xlnm._FilterDatabase" localSheetId="7" hidden="1">'HAL - sum'!$A$8:$P$66</definedName>
    <definedName name="_xlnm._FilterDatabase" localSheetId="9" hidden="1">'HIN - summary'!$A$8:$P$62</definedName>
    <definedName name="_xlnm._FilterDatabase" localSheetId="10" hidden="1">'HIn - sum'!$A$8:$P$118</definedName>
    <definedName name="_xlnm._FilterDatabase" localSheetId="12" hidden="1">'KUR - summary'!$A$8:$P$50</definedName>
    <definedName name="_xlnm._FilterDatabase" localSheetId="13" hidden="1">'Kur - sum'!$A$8:$P$43</definedName>
    <definedName name="_xlnm._FilterDatabase" localSheetId="16" hidden="1">'NPW - summary'!$A$8:$P$28</definedName>
    <definedName name="_xlnm._FilterDatabase" localSheetId="17" hidden="1">'NPW - sum'!$A$8:$P$24</definedName>
    <definedName name="_xlnm._FilterDatabase" localSheetId="18" hidden="1">'KAR - sum'!$A$8:$P$41</definedName>
    <definedName name="_xlnm._FilterDatabase" localSheetId="2" hidden="1">Hal!#REF!</definedName>
    <definedName name="_xlnm._FilterDatabase" localSheetId="8" hidden="1">Hin!#REF!</definedName>
    <definedName name="_xlnm._FilterDatabase" localSheetId="15" hidden="1">Kar!#REF!</definedName>
    <definedName name="_xlnm._FilterDatabase" localSheetId="11" hidden="1">Kur!$A$18:$K$22</definedName>
    <definedName name="_xlnm._FilterDatabase" localSheetId="5" hidden="1">'Kuru-Ageing'!#REF!</definedName>
    <definedName name="_xlnm._FilterDatabase" localSheetId="1" hidden="1">Nel!#REF!</definedName>
    <definedName name="_xlnm._FilterDatabase" localSheetId="14" hidden="1">Npw!#REF!</definedName>
    <definedName name="balances" localSheetId="2">#REF!</definedName>
    <definedName name="balances" localSheetId="8">#REF!</definedName>
    <definedName name="balances" localSheetId="15">#REF!</definedName>
    <definedName name="balances" localSheetId="11">#REF!</definedName>
    <definedName name="balances" localSheetId="1">#REF!</definedName>
    <definedName name="balances" localSheetId="14">#REF!</definedName>
    <definedName name="balances">#REF!</definedName>
    <definedName name="_xlnm.Print_Area" localSheetId="2">Hal!$A$1:$N$49</definedName>
    <definedName name="_xlnm.Print_Area" localSheetId="8">Hin!$A$1:$N$60</definedName>
    <definedName name="_xlnm.Print_Area" localSheetId="15">Kar!$A$1:$O$53</definedName>
    <definedName name="_xlnm.Print_Area" localSheetId="11">Kur!$A$1:$N$43</definedName>
    <definedName name="_xlnm.Print_Area" localSheetId="1">Nel!$A$1:$N$59</definedName>
    <definedName name="_xlnm.Print_Area" localSheetId="14">Npw!$A$1:$N$28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<sst xmlns="http://schemas.openxmlformats.org/spreadsheetml/2006/main" count="2458" uniqueCount="935">
  <si>
    <t>March 2019</t>
  </si>
  <si>
    <t>April 2019</t>
  </si>
  <si>
    <t>May 2019</t>
  </si>
  <si>
    <t>June 2019</t>
  </si>
  <si>
    <t>July 2019</t>
  </si>
  <si>
    <t>August 2019</t>
  </si>
  <si>
    <t>Neluwa</t>
  </si>
  <si>
    <t>Halwitigala</t>
  </si>
  <si>
    <t>SAP</t>
  </si>
  <si>
    <t>Diff.</t>
  </si>
  <si>
    <t>Hingalgoda</t>
  </si>
  <si>
    <t>Kurupanawa</t>
  </si>
  <si>
    <t>New Panawenna</t>
  </si>
  <si>
    <t>Broadlands</t>
  </si>
  <si>
    <t>Karawita</t>
  </si>
  <si>
    <t>Charge for the month :</t>
  </si>
  <si>
    <t>Rate @ Rs. 77/-</t>
  </si>
  <si>
    <t>List of new debts in December 2019</t>
  </si>
  <si>
    <t>Amount Outstanding</t>
  </si>
  <si>
    <t>Advance Given in</t>
  </si>
  <si>
    <t>GL Supply in</t>
  </si>
  <si>
    <t>Supplier Name</t>
  </si>
  <si>
    <t>PB</t>
  </si>
  <si>
    <t>End Dec</t>
  </si>
  <si>
    <t>End Nov</t>
  </si>
  <si>
    <t>Recovery</t>
  </si>
  <si>
    <t>Dec</t>
  </si>
  <si>
    <t>Nov</t>
  </si>
  <si>
    <t>Remarks</t>
  </si>
  <si>
    <t>B.L.S.PRIYANTHA</t>
  </si>
  <si>
    <t>Will supply leaf</t>
  </si>
  <si>
    <t>K.G.PREMASIRI</t>
  </si>
  <si>
    <t>K.SUMANA</t>
  </si>
  <si>
    <t>H.G.LALITH GAMAGE</t>
  </si>
  <si>
    <t>Recovered</t>
  </si>
  <si>
    <t>M.P.G.DAYARATHNA</t>
  </si>
  <si>
    <t>K.WIMALASENA</t>
  </si>
  <si>
    <t>RAMANI ABESINGHA</t>
  </si>
  <si>
    <t>G.PRIYANTHIKA</t>
  </si>
  <si>
    <t>G.G.S.CHANDANA GAMAGE</t>
  </si>
  <si>
    <t>P.M.G.AMARASENA</t>
  </si>
  <si>
    <t>Status of the past debts</t>
  </si>
  <si>
    <t>M.L.B.LASANTHA</t>
  </si>
  <si>
    <t>Curtailed the advance. Will be recovered.</t>
  </si>
  <si>
    <t>H.A.GUNAWARDANA</t>
  </si>
  <si>
    <t>Will be recovered.</t>
  </si>
  <si>
    <t>W.I.A.NIMALI</t>
  </si>
  <si>
    <t>Loan Recovery-26,778 and Fert Recovery-4200</t>
  </si>
  <si>
    <t>Guarantors; W.A.D.P. Gunathilaka, U.J. Saman Nilantha (TA)</t>
  </si>
  <si>
    <t>M.K.P.LAKMAL</t>
  </si>
  <si>
    <t>Recovery in progress</t>
  </si>
  <si>
    <t>K.E.R.M.SENEVIRAT</t>
  </si>
  <si>
    <t>E.L.P.KAWINDA</t>
  </si>
  <si>
    <t>P.H.KASUN UDARA</t>
  </si>
  <si>
    <t>G.SISIRA GAMINI</t>
  </si>
  <si>
    <t>Will be recovered from T/Agent.</t>
  </si>
  <si>
    <t>B.L.SUMITHRA</t>
  </si>
  <si>
    <t>K.H.NILANTHA</t>
  </si>
  <si>
    <t>Analysis on Total Debt</t>
  </si>
  <si>
    <t>SARATH WIJEWANTHA</t>
  </si>
  <si>
    <t>Loan Recovery - 66,934 and Fertilizer Recovery - 13,000</t>
  </si>
  <si>
    <t xml:space="preserve">Guarantors; Danapala Jothirathna, S Abeyrathna
</t>
  </si>
  <si>
    <t>J.M.G.JAYASUNDARA</t>
  </si>
  <si>
    <t>Loan Recovery - 9,744. Agreed to supply 100% leaf during January.</t>
  </si>
  <si>
    <t xml:space="preserve">Guarantors; 
T. G Karunarathna, Saman Abeyrathna
</t>
  </si>
  <si>
    <t>M.K.T.DISHAN</t>
  </si>
  <si>
    <t>S.S.DAHANAYAKA</t>
  </si>
  <si>
    <t>M.P.G.JAYASENA</t>
  </si>
  <si>
    <t>Recovery not in progress</t>
  </si>
  <si>
    <t>K.G.DANUSHKA JAYA</t>
  </si>
  <si>
    <t>Analysis on debts above 180 Days</t>
  </si>
  <si>
    <t>M.SARATH</t>
  </si>
  <si>
    <t>Factory received a cheque amounted to Rs. 200,000/- from M. Sarath. Legal actions cannot be taken since both do not have permanent address.</t>
  </si>
  <si>
    <t>S.SUSANTHA</t>
  </si>
  <si>
    <t>A.K.PRADEEP CHAMI</t>
  </si>
  <si>
    <t>Factory recovered Rs. 74,534/- in the month of February 2019. Agreed to recover by end of November.</t>
  </si>
  <si>
    <t>P DAHANAYAKA</t>
  </si>
  <si>
    <t>Factory recovered Rs. 1,500/- in the month of February 2019. Agreed to recover by end of November.</t>
  </si>
  <si>
    <t>J.RASIKA</t>
  </si>
  <si>
    <t>Factory recovered Rs. 1,000/- in the month of February 2019. Agreed to recover by end of November.</t>
  </si>
  <si>
    <t>0 - 30</t>
  </si>
  <si>
    <t>SAMANJEEWA LIYANA</t>
  </si>
  <si>
    <t>S.ABEYRATHNA</t>
  </si>
  <si>
    <t>N.K.NILANTHI</t>
  </si>
  <si>
    <t>Will supply leaf.</t>
  </si>
  <si>
    <t>A.G.SUNIL</t>
  </si>
  <si>
    <t>M.RANASINGHA</t>
  </si>
  <si>
    <t>P.SHANTHADEWA</t>
  </si>
  <si>
    <t>-</t>
  </si>
  <si>
    <t xml:space="preserve"> H.T.SUMANAWATHIE</t>
  </si>
  <si>
    <t>G.NISHANTHI</t>
  </si>
  <si>
    <t>Will update the after the Supdt visit.</t>
  </si>
  <si>
    <t>I.G.D.RATHANAPALI</t>
  </si>
  <si>
    <t>K.SARATH</t>
  </si>
  <si>
    <t>H.G.SRIYALATHA</t>
  </si>
  <si>
    <t>End Aug</t>
  </si>
  <si>
    <t>D.B.A.ATUKORALA</t>
  </si>
  <si>
    <t>Recovery in progress. (Short term loan recovery - 66,191)</t>
  </si>
  <si>
    <t>Guarantors; TP - W.G. Buddadasa, W.A.H.M Anura Bandara</t>
  </si>
  <si>
    <t>S.EDIRISINGHA</t>
  </si>
  <si>
    <t>Guarantors; TP W.A.H.M Anura Bandara, W.K Ranjith Pushpakumara</t>
  </si>
  <si>
    <t>I.A.BASNAYAKA</t>
  </si>
  <si>
    <t>Recovery in progress. Line agent agreed to settle by end of January.</t>
  </si>
  <si>
    <t>U.R.J.DISANAYAKA</t>
  </si>
  <si>
    <t>Short term loan recovery - 33,398. Settled 25,000 by cash in November.</t>
  </si>
  <si>
    <t>D.JAYAWARDANA</t>
  </si>
  <si>
    <t>Recovering in small amounts.</t>
  </si>
  <si>
    <t>K.I.WIJESEKARA</t>
  </si>
  <si>
    <t>VIDUSHI NISHARA E</t>
  </si>
  <si>
    <t>D.L.SHANTHA</t>
  </si>
  <si>
    <t>Supplied 66 kgs as of 5th Dec. Will supply leaf. (ST Loan recovery - Rs. 22,850)</t>
  </si>
  <si>
    <t>W.SUMATHIPALA</t>
  </si>
  <si>
    <t>H.G.PREMATHILAKA</t>
  </si>
  <si>
    <t>M.K.SUNIL</t>
  </si>
  <si>
    <t>Agreed to pay Rs. 7,000/- monthly. Given in April, May and July 19. Supplied 20 Kgs in December. Recovering in small quantities.</t>
  </si>
  <si>
    <t>D.L.CHITHRA MALAN</t>
  </si>
  <si>
    <t>Recovering Rs. 1000/= per month from the transporter. Supplied 33 Kgs in November. Recovering in small quantities.</t>
  </si>
  <si>
    <t>A.H.PRIYADARSHANI</t>
  </si>
  <si>
    <t>Recovery in progress. Agreed to supply leaf from November onwards and supplied 27 Kgs in November. Recovering in small quantities.</t>
  </si>
  <si>
    <t>E.M.SARATH</t>
  </si>
  <si>
    <t>Agreed to settle before December 2019. Recovered Rs. 5,000/- in November 2019.</t>
  </si>
  <si>
    <t>K.KUMARASIRI</t>
  </si>
  <si>
    <t>Recovery not in progress. However, agreed to supply leaf. Leaf supply in Jan - 46 Kgs)</t>
  </si>
  <si>
    <t>T.H.DEEPIKA PRIYA</t>
  </si>
  <si>
    <t>Recovery not in progress - Settled 29 Kgs in October 2018 - Krishantha's (Line). Agreed to settle by end of December.</t>
  </si>
  <si>
    <t>N.D.SUNETHRA</t>
  </si>
  <si>
    <t>Recovery not in progress - Settled Rs. 3,000/- in March 2019 by Sugath - Factory Agent.</t>
  </si>
  <si>
    <t>W.G.PRIYADARSHANA</t>
  </si>
  <si>
    <t>Agreed to settle by end of January.</t>
  </si>
  <si>
    <t>H.H.DHARMAWANSHA</t>
  </si>
  <si>
    <t>H.G.N.DHANUSHIKA</t>
  </si>
  <si>
    <t>Agreed to supply leaf. Krishantha's Line.</t>
  </si>
  <si>
    <t>W.G.ARIYASENA</t>
  </si>
  <si>
    <t>Month</t>
  </si>
  <si>
    <t>Total outstanding</t>
  </si>
  <si>
    <t>Age Analysis - No. of days</t>
  </si>
  <si>
    <t>Neluwa Tea Factory</t>
  </si>
  <si>
    <t>Value</t>
  </si>
  <si>
    <t xml:space="preserve">&lt; 30 </t>
  </si>
  <si>
    <t>31 - 60</t>
  </si>
  <si>
    <t>61- 90</t>
  </si>
  <si>
    <t xml:space="preserve">91 - 180 </t>
  </si>
  <si>
    <t>&gt; 181</t>
  </si>
  <si>
    <t>September 2021</t>
  </si>
  <si>
    <t>August 2021</t>
  </si>
  <si>
    <t>Variance</t>
  </si>
  <si>
    <t xml:space="preserve">Age Analysis of the balance Outstanding </t>
  </si>
  <si>
    <t>Pass Book No</t>
  </si>
  <si>
    <t>Leaf Route</t>
  </si>
  <si>
    <t>Name</t>
  </si>
  <si>
    <t>Amount (Rs) - September</t>
  </si>
  <si>
    <t>Amount (Rs) - August</t>
  </si>
  <si>
    <t>Increase/ (decrease)</t>
  </si>
  <si>
    <t>0-30</t>
  </si>
  <si>
    <t>31-60</t>
  </si>
  <si>
    <t>61-90</t>
  </si>
  <si>
    <t>91-180</t>
  </si>
  <si>
    <t>&gt;180</t>
  </si>
  <si>
    <t>Quantity Supplied in August</t>
  </si>
  <si>
    <t>Quantity Supplied in September</t>
  </si>
  <si>
    <t>Remarks -September</t>
  </si>
  <si>
    <t>Remarks - Previous Month</t>
  </si>
  <si>
    <t>Current month Supply up to 21st</t>
  </si>
  <si>
    <t>This will be recoverd from this month</t>
  </si>
  <si>
    <t>U.I.ABEYSINGHE</t>
  </si>
  <si>
    <t>P.A.GAYAN SAMPATH</t>
  </si>
  <si>
    <t>K.G.DANUSHKA JAYANATH</t>
  </si>
  <si>
    <t>D.MATHARAGE</t>
  </si>
  <si>
    <t>M.I.G.SUNIL</t>
  </si>
  <si>
    <t>S.ABEYRATHNNA</t>
  </si>
  <si>
    <t>A.K.C.R.KUMARA</t>
  </si>
  <si>
    <t>K.G.INOSHA</t>
  </si>
  <si>
    <t>S.E.RANJITH</t>
  </si>
  <si>
    <t>DJ</t>
  </si>
  <si>
    <t>P.G.SAMARAPALA</t>
  </si>
  <si>
    <t>A.L.NIRANJALA DHARSHANIE</t>
  </si>
  <si>
    <t>H.K.N.RUPIKA.</t>
  </si>
  <si>
    <t>G.H.D.KUMARI</t>
  </si>
  <si>
    <t>W.PIYADASA</t>
  </si>
  <si>
    <t>J.V.G.A.L.SUNANDA</t>
  </si>
  <si>
    <t>O.V.P.MALANIE</t>
  </si>
  <si>
    <t>P.M.G.SUMANARATHNA</t>
  </si>
  <si>
    <t>V.P.LEELAWATHI</t>
  </si>
  <si>
    <t>DLA</t>
  </si>
  <si>
    <t>D.W.WIJERATHNA</t>
  </si>
  <si>
    <t>This will be recoverd from this month. New Estate owner. Has the potential to supply 2,000 kg per month. Expect to recover within the month</t>
  </si>
  <si>
    <t>R.G.GUNAWATHIE</t>
  </si>
  <si>
    <t>Police entry lodged on 16.11.2020 (unable to Place the Person)</t>
  </si>
  <si>
    <t>KDA</t>
  </si>
  <si>
    <t>A.K.PRADEEP CHAMINDA</t>
  </si>
  <si>
    <t xml:space="preserve">Rs 2000/ Recoverd,Debts Possition has come down to 41000/ </t>
  </si>
  <si>
    <t xml:space="preserve">Rs 2000/ Recoverd,Debts Possition has come down to 43000/ </t>
  </si>
  <si>
    <t>Rs 1000/ Recoverd,</t>
  </si>
  <si>
    <t>Rs 500/ Recoverd,</t>
  </si>
  <si>
    <t>MPG</t>
  </si>
  <si>
    <t>Debts Possition has come down to 11000/ as at todate. Jayasena paid Rs. 8000 in September</t>
  </si>
  <si>
    <t>Debts Possition has come down to 19000/ as at todate. Jayasena paid Rs. 10000 in July</t>
  </si>
  <si>
    <t>N.G.BABY NONA</t>
  </si>
  <si>
    <t>Transpoter who is liable to pay this amount has informed that his not in a position to pay this</t>
  </si>
  <si>
    <t>Amount (Rs) - June</t>
  </si>
  <si>
    <t>Amount (Rs) - May</t>
  </si>
  <si>
    <t>Quantity Supplied in May</t>
  </si>
  <si>
    <t>Quantity Supplied in June</t>
  </si>
  <si>
    <t>Remarks -June</t>
  </si>
  <si>
    <t>Current month Supply up to 09th</t>
  </si>
  <si>
    <t xml:space="preserve"> Leaf Supplied and already recovered</t>
  </si>
  <si>
    <t>Kurupanawa Tea Factory</t>
  </si>
  <si>
    <t xml:space="preserve"> Leaf Supplied and Recoveries to be done</t>
  </si>
  <si>
    <t>FEBRUARY 26</t>
  </si>
  <si>
    <t>Not supplied Leaf</t>
  </si>
  <si>
    <t>JANUARY 26</t>
  </si>
  <si>
    <t>Agreed to settle Installment Basis</t>
  </si>
  <si>
    <t>Over 180 days -Samathamandala  / police  inquiry  Legal action taken</t>
  </si>
  <si>
    <t>Over 180 days -Samathamandala  / police  inquiry  Legal action to be taken</t>
  </si>
  <si>
    <t>Other</t>
  </si>
  <si>
    <t>Amount (Rs) - Feb 26</t>
  </si>
  <si>
    <t>Amount (Rs) - Jan'26</t>
  </si>
  <si>
    <t>Quantity Supplied in Jan 26</t>
  </si>
  <si>
    <t>Quantity Supplied in Feb 26</t>
  </si>
  <si>
    <t xml:space="preserve">Remarks - </t>
  </si>
  <si>
    <t>Current month Supply up to 18th Feb 26</t>
  </si>
  <si>
    <t>Advances</t>
  </si>
  <si>
    <t>Fertilizer</t>
  </si>
  <si>
    <t>Loan</t>
  </si>
  <si>
    <t>PG</t>
  </si>
  <si>
    <t>00002</t>
  </si>
  <si>
    <t>ATHAR WICKRAMASINGHE</t>
  </si>
  <si>
    <t>00067</t>
  </si>
  <si>
    <t>CHAMINDA MOHAN GUNASEKARA</t>
  </si>
  <si>
    <t>WD</t>
  </si>
  <si>
    <t>00073</t>
  </si>
  <si>
    <t>R.S.S.WEERATHUNGE</t>
  </si>
  <si>
    <t>KR</t>
  </si>
  <si>
    <t>00115</t>
  </si>
  <si>
    <t>DAYAVATHIE N.V</t>
  </si>
  <si>
    <t>00191</t>
  </si>
  <si>
    <t>K.H.C.NUWAN THARANGA</t>
  </si>
  <si>
    <t>PR</t>
  </si>
  <si>
    <t>00267</t>
  </si>
  <si>
    <t>LALITH INDIKA A.H.</t>
  </si>
  <si>
    <t>00417</t>
  </si>
  <si>
    <t>W.G.P.S.ARIYARATNA</t>
  </si>
  <si>
    <t>00580</t>
  </si>
  <si>
    <t>WIMALASENA G.G.</t>
  </si>
  <si>
    <t>00648</t>
  </si>
  <si>
    <t>N.V.SIRISHANTHA</t>
  </si>
  <si>
    <t>00671</t>
  </si>
  <si>
    <t>CHANDRA KANTHI U.S.</t>
  </si>
  <si>
    <t>00702</t>
  </si>
  <si>
    <t>ABESUNDERA G.</t>
  </si>
  <si>
    <t>00732</t>
  </si>
  <si>
    <t>PATHIRAGE PATHMASIRI</t>
  </si>
  <si>
    <t>HE</t>
  </si>
  <si>
    <t>01260</t>
  </si>
  <si>
    <t>K.M.H.N.GAMINIE</t>
  </si>
  <si>
    <t>01303</t>
  </si>
  <si>
    <t>Y.W.U.GAMAGE</t>
  </si>
  <si>
    <t>DH</t>
  </si>
  <si>
    <t>01668</t>
  </si>
  <si>
    <t>B.A.PRIYADARSHANIE</t>
  </si>
  <si>
    <t>01781</t>
  </si>
  <si>
    <t>N.G.SUNEETHA</t>
  </si>
  <si>
    <t>01826</t>
  </si>
  <si>
    <t>T.P.CHITRAPALA</t>
  </si>
  <si>
    <t>01875</t>
  </si>
  <si>
    <t>D.G.T.A.DAYAS</t>
  </si>
  <si>
    <t>02062</t>
  </si>
  <si>
    <t>H.K.J.PUSHPAKUMARA</t>
  </si>
  <si>
    <t>YT</t>
  </si>
  <si>
    <t>02179</t>
  </si>
  <si>
    <t>K.T.G.NALAKA ASANGA THIRANAGAMA</t>
  </si>
  <si>
    <t>02207</t>
  </si>
  <si>
    <t>N.V.NANDAWATHIE</t>
  </si>
  <si>
    <t>BG</t>
  </si>
  <si>
    <t>02263</t>
  </si>
  <si>
    <t>W.P.G.S.NANDANA</t>
  </si>
  <si>
    <t>SL</t>
  </si>
  <si>
    <t>02475</t>
  </si>
  <si>
    <t>H.K.C.DE SILVA..</t>
  </si>
  <si>
    <t>02509</t>
  </si>
  <si>
    <t>K.G.S.NANDANA</t>
  </si>
  <si>
    <t>02528</t>
  </si>
  <si>
    <t>D.K.WASANTHA</t>
  </si>
  <si>
    <t>02594</t>
  </si>
  <si>
    <t>G.P.K.HEWAVITHANA</t>
  </si>
  <si>
    <t>02600</t>
  </si>
  <si>
    <t>S.D.SUNILA DRARMA</t>
  </si>
  <si>
    <t>02664</t>
  </si>
  <si>
    <t>SARATH PATHIRAGE</t>
  </si>
  <si>
    <t>02749</t>
  </si>
  <si>
    <t>B.R.UPATHISSA</t>
  </si>
  <si>
    <t>03141</t>
  </si>
  <si>
    <t>K.J.M.G.C.JAYATHILAKA</t>
  </si>
  <si>
    <t>03253</t>
  </si>
  <si>
    <t>B.G.NISHAKA</t>
  </si>
  <si>
    <t>03296</t>
  </si>
  <si>
    <t>A.L.G.J.JANAPPRIYA</t>
  </si>
  <si>
    <t>03422</t>
  </si>
  <si>
    <t>W.A.I.PUSHPA KUMARA</t>
  </si>
  <si>
    <t>03592</t>
  </si>
  <si>
    <t>H.P.G.N.PUSHPA KUMARA</t>
  </si>
  <si>
    <t>03597</t>
  </si>
  <si>
    <t>H.A.D.R.PRIYALAL</t>
  </si>
  <si>
    <t>03734</t>
  </si>
  <si>
    <t>H.A.MANJU RASANJA</t>
  </si>
  <si>
    <t>PA</t>
  </si>
  <si>
    <t>03891</t>
  </si>
  <si>
    <t>K.A.MALANI GNANALATHA</t>
  </si>
  <si>
    <t>03955</t>
  </si>
  <si>
    <t>M.V.LASANTHA KUMARA</t>
  </si>
  <si>
    <t>03959</t>
  </si>
  <si>
    <t>U.G.p.Dharmasiri</t>
  </si>
  <si>
    <t>04110</t>
  </si>
  <si>
    <t>RANJITH ABEYKOON</t>
  </si>
  <si>
    <t>04134</t>
  </si>
  <si>
    <t>K.D.A.SAMEERA PRASAD</t>
  </si>
  <si>
    <t>04621</t>
  </si>
  <si>
    <t>K.P.DINESH</t>
  </si>
  <si>
    <t>04626</t>
  </si>
  <si>
    <t>K.G.GUNAPALA</t>
  </si>
  <si>
    <t>05062</t>
  </si>
  <si>
    <t>U.G.MAHESH</t>
  </si>
  <si>
    <t>05101</t>
  </si>
  <si>
    <t>P.P.Thamara Nilanthi</t>
  </si>
  <si>
    <t>05105</t>
  </si>
  <si>
    <t>H.H.Asha Tilini Kumari</t>
  </si>
  <si>
    <t>05120</t>
  </si>
  <si>
    <t>S N Kumuduni</t>
  </si>
  <si>
    <t>05157</t>
  </si>
  <si>
    <t>H S A Chandani Renuka</t>
  </si>
  <si>
    <t>US</t>
  </si>
  <si>
    <t>05279</t>
  </si>
  <si>
    <t>K G WIJESIRI</t>
  </si>
  <si>
    <t>05294</t>
  </si>
  <si>
    <t>N J N MUTHUKUMARI</t>
  </si>
  <si>
    <t>05328</t>
  </si>
  <si>
    <t>A M HEMARATNE</t>
  </si>
  <si>
    <t>05336</t>
  </si>
  <si>
    <t>INDRANI HEWAGE</t>
  </si>
  <si>
    <t>05348</t>
  </si>
  <si>
    <t>H K Y L DE SILVA</t>
  </si>
  <si>
    <t>05350</t>
  </si>
  <si>
    <t>H L SARATHKUMARA</t>
  </si>
  <si>
    <t>05411</t>
  </si>
  <si>
    <t>K G MALANI</t>
  </si>
  <si>
    <t>05419</t>
  </si>
  <si>
    <t>SOMAWATHIE WEERASINGHE</t>
  </si>
  <si>
    <t>05465</t>
  </si>
  <si>
    <t>K L SUDEEPA</t>
  </si>
  <si>
    <t>05477</t>
  </si>
  <si>
    <t>K V THILAKARATHNA</t>
  </si>
  <si>
    <t>05497</t>
  </si>
  <si>
    <t>N P K GUNASEKARA</t>
  </si>
  <si>
    <t>05499</t>
  </si>
  <si>
    <t>G L U S Madhuranga</t>
  </si>
  <si>
    <t>GG</t>
  </si>
  <si>
    <t>05505</t>
  </si>
  <si>
    <t>KATIPE ARACHCHI ANURA</t>
  </si>
  <si>
    <t>05516</t>
  </si>
  <si>
    <t>DAMITH LAHIRU JAYAWICKRAMA</t>
  </si>
  <si>
    <t>05538</t>
  </si>
  <si>
    <t>P V RUWAN INDIKA</t>
  </si>
  <si>
    <t>05539</t>
  </si>
  <si>
    <t>M L PRIYANGIKA</t>
  </si>
  <si>
    <t>05560</t>
  </si>
  <si>
    <t>H K O N DE SILVA</t>
  </si>
  <si>
    <t>05584</t>
  </si>
  <si>
    <t>B K SHIROMI</t>
  </si>
  <si>
    <t>GNG</t>
  </si>
  <si>
    <t>05588</t>
  </si>
  <si>
    <t>K A T RASHAN</t>
  </si>
  <si>
    <t>05616</t>
  </si>
  <si>
    <t>M W G L KUMARI</t>
  </si>
  <si>
    <t>05617</t>
  </si>
  <si>
    <t>P K L NANDANA</t>
  </si>
  <si>
    <t>00042</t>
  </si>
  <si>
    <t>G.P.G.PRIYANTHA LAL</t>
  </si>
  <si>
    <t>02290</t>
  </si>
  <si>
    <t>B.G.T.THILAK KUMARA</t>
  </si>
  <si>
    <t>03482</t>
  </si>
  <si>
    <t>K.H.U.SANDARUWAN</t>
  </si>
  <si>
    <t>03918</t>
  </si>
  <si>
    <t>R.G.PATHMALATHA</t>
  </si>
  <si>
    <t>04215</t>
  </si>
  <si>
    <t>S.D.S.D.SAPUTHANTHRI</t>
  </si>
  <si>
    <t>04592</t>
  </si>
  <si>
    <t>G.G.HIRUDI DULSARA</t>
  </si>
  <si>
    <t>05047</t>
  </si>
  <si>
    <t>R D WICKRAMANAYAKA</t>
  </si>
  <si>
    <t>FA</t>
  </si>
  <si>
    <t>05520</t>
  </si>
  <si>
    <t>G K LALITH BANDUSIRI</t>
  </si>
  <si>
    <t>00859</t>
  </si>
  <si>
    <t>KAPILA K.A.</t>
  </si>
  <si>
    <t>Recovery to be done within the month</t>
  </si>
  <si>
    <t>02277</t>
  </si>
  <si>
    <t>A.T.W.KARUNARATHNA</t>
  </si>
  <si>
    <t>02843</t>
  </si>
  <si>
    <t>PREMALATHA HEWAVITHANA</t>
  </si>
  <si>
    <t>03635</t>
  </si>
  <si>
    <t>W.G.I.G.ARIYARATHNA</t>
  </si>
  <si>
    <t>03778</t>
  </si>
  <si>
    <t>K.H.DUMINDA KINSLI</t>
  </si>
  <si>
    <t>03800</t>
  </si>
  <si>
    <t>W.H.GEETHANI</t>
  </si>
  <si>
    <t>03916</t>
  </si>
  <si>
    <t>A.K.LALITHA</t>
  </si>
  <si>
    <t>04551</t>
  </si>
  <si>
    <t>U.G.L.RAVINDRA</t>
  </si>
  <si>
    <t>05044</t>
  </si>
  <si>
    <t>A K IRANGANI</t>
  </si>
  <si>
    <t>05354</t>
  </si>
  <si>
    <t>M CHAMINDA RUWAN SAMPATH</t>
  </si>
  <si>
    <t>03034</t>
  </si>
  <si>
    <t>U.W.J.SERASINGHE</t>
  </si>
  <si>
    <t xml:space="preserve">(Granted 2017 Aug)Person not in the area. Visited with Ext. Officer, Hingalgoda </t>
  </si>
  <si>
    <t>04135</t>
  </si>
  <si>
    <t>I.K.AJITH KUMARA</t>
  </si>
  <si>
    <t xml:space="preserve">(Granted 2017 July) Person not in the area.Visited with Ext. Officer, Hingalgoda </t>
  </si>
  <si>
    <t>04143</t>
  </si>
  <si>
    <t>K.H.WASANTHA RATHNAYAKA</t>
  </si>
  <si>
    <t xml:space="preserve">(Granted 2017 June) Person not in the area.Visited with Ext. Officer, Hingalgoda </t>
  </si>
  <si>
    <t>04169</t>
  </si>
  <si>
    <t>K.N.GODAWATTA</t>
  </si>
  <si>
    <t>(Granted 2019 Sep ) Person not in the area.Visited with Ext. Officer, Hingalgoda</t>
  </si>
  <si>
    <t>04554</t>
  </si>
  <si>
    <t>N.N.G.O.D.NAGAHAWATTA</t>
  </si>
  <si>
    <t xml:space="preserve">(Granted 2019 June) Person not in the area.Visited with Ext. Officer, Hingalgoda </t>
  </si>
  <si>
    <t>04574</t>
  </si>
  <si>
    <t>H.M.RANJITH TIKIRIBANDA</t>
  </si>
  <si>
    <t>(Granted 2019 Dec) Person not in the area.Visited with Ext. Officer, Hingalgoda</t>
  </si>
  <si>
    <t>04578</t>
  </si>
  <si>
    <t>M.T.WANNIARACHCHI</t>
  </si>
  <si>
    <t>(Granted 2019 Oct) Person not in the area.Visited with Ext. Officer, Hingalgoda</t>
  </si>
  <si>
    <t>04623</t>
  </si>
  <si>
    <t>W.A.SURANGA SUMUDU</t>
  </si>
  <si>
    <t>(Granted 2019 March) Person not in the area.Visited with Ext. Officer, Hingalgoda</t>
  </si>
  <si>
    <t>04673</t>
  </si>
  <si>
    <t>E.S.HASHAN</t>
  </si>
  <si>
    <t>04707</t>
  </si>
  <si>
    <t>H.G.NALAKA RUWAN KUMARA</t>
  </si>
  <si>
    <t>(Granted 2019 June) Person not in the area.Visited with Ext. Officer, Hingalgoda</t>
  </si>
  <si>
    <t>03792</t>
  </si>
  <si>
    <t>G.ROHITHA</t>
  </si>
  <si>
    <t>Agreed to settle Installment basis</t>
  </si>
  <si>
    <t>04606</t>
  </si>
  <si>
    <t>D.S.SUMITH</t>
  </si>
  <si>
    <t>Samathamandalaya</t>
  </si>
  <si>
    <t>UN</t>
  </si>
  <si>
    <t>04646</t>
  </si>
  <si>
    <t>H.B.L.GAMINI</t>
  </si>
  <si>
    <t>Halwitigala Tea Factory</t>
  </si>
  <si>
    <t>Over 180 - Debtors without any recoveries to be reviewed in the month end police entries to be lodged</t>
  </si>
  <si>
    <t>EL</t>
  </si>
  <si>
    <t>wil be followed up to get leaf</t>
  </si>
  <si>
    <t>wil be followed up to get leaf. Agreed to supply 50kg per month</t>
  </si>
  <si>
    <t>AB</t>
  </si>
  <si>
    <t>B.G.SUNIL</t>
  </si>
  <si>
    <t>If leaf is not supplied a complain will be loged at the police. Check the possibility of offering a STL to recover the outstading Debt</t>
  </si>
  <si>
    <t>Has commenced suppling leaf</t>
  </si>
  <si>
    <t>LIYANA PATHIRANAGE NANDANA</t>
  </si>
  <si>
    <t>If leaf is not supplied a complain will be loged at the police.</t>
  </si>
  <si>
    <t>MM</t>
  </si>
  <si>
    <t>will be recovered by cash</t>
  </si>
  <si>
    <t>SD</t>
  </si>
  <si>
    <t>D.L.C.LIYANAGE</t>
  </si>
  <si>
    <t>I.M.JAGODA</t>
  </si>
  <si>
    <t>PS</t>
  </si>
  <si>
    <t/>
  </si>
  <si>
    <t>Pilice entry</t>
  </si>
  <si>
    <t>DD</t>
  </si>
  <si>
    <t>wil be followed up.</t>
  </si>
  <si>
    <t>RU</t>
  </si>
  <si>
    <t>S.D.L.PRIYANTHA PUSHPA KUMARA</t>
  </si>
  <si>
    <t>M.K.RENUKA</t>
  </si>
  <si>
    <t>K.V.PRIYANTHA</t>
  </si>
  <si>
    <t>WG</t>
  </si>
  <si>
    <t>M.K.JANAKEE</t>
  </si>
  <si>
    <t>J.PATHMASIRI</t>
  </si>
  <si>
    <t>Recovered Rs.2000/- by cash</t>
  </si>
  <si>
    <t>UA</t>
  </si>
  <si>
    <t>XXX</t>
  </si>
  <si>
    <t>K.E.WIJITHA JAYARATHNA</t>
  </si>
  <si>
    <t>EG</t>
  </si>
  <si>
    <t>NK</t>
  </si>
  <si>
    <t>A.BASNAYAKA</t>
  </si>
  <si>
    <t>D.L.CHITHRA MALANI</t>
  </si>
  <si>
    <t>K.L.I.CHATHURANGA</t>
  </si>
  <si>
    <t>Leaf Supplied in October, will be Recovered.</t>
  </si>
  <si>
    <t>P.BANDULA SHANTHA</t>
  </si>
  <si>
    <t>will be recovered from the transport agent.</t>
  </si>
  <si>
    <t>K.G.SWARNALATHA</t>
  </si>
  <si>
    <t>WP</t>
  </si>
  <si>
    <t>L.H.Neranjalee</t>
  </si>
  <si>
    <t>G.K.SOMAWEERA</t>
  </si>
  <si>
    <t>BU</t>
  </si>
  <si>
    <t>W.CHAMINDA</t>
  </si>
  <si>
    <t>Rs.2000/- Recovered from Agent</t>
  </si>
  <si>
    <t>P.G.JAYASIRI</t>
  </si>
  <si>
    <t>K.W.RAJA</t>
  </si>
  <si>
    <t>Recovered from Agent</t>
  </si>
  <si>
    <t>CTO</t>
  </si>
  <si>
    <t>G.P.Senanayaka</t>
  </si>
  <si>
    <t>Leaf supply in Oct. will be recovered. Supply reduced to the Covid 19. Full amount to be recovered by End Oct 21</t>
  </si>
  <si>
    <t>M.L.SOMADASA</t>
  </si>
  <si>
    <t>Leaf Supplied in October Recovered Full amount</t>
  </si>
  <si>
    <t>MP</t>
  </si>
  <si>
    <t>K.H.LALITH KUMARA</t>
  </si>
  <si>
    <t>If  not supply leaf will be recovered from Agent</t>
  </si>
  <si>
    <t>G.K.D.MALKANTHI</t>
  </si>
  <si>
    <t>K.SHANTHA</t>
  </si>
  <si>
    <t>OWN</t>
  </si>
  <si>
    <t>VIDUSHI NISHARA EDIRISINGHE</t>
  </si>
  <si>
    <t>KG</t>
  </si>
  <si>
    <t>P.G.PREMAWATHIE</t>
  </si>
  <si>
    <t>M.A.NIMALADASA</t>
  </si>
  <si>
    <t>K.G.UPALI</t>
  </si>
  <si>
    <t>L.G.ANURA PRIYANKARA.</t>
  </si>
  <si>
    <t>WK</t>
  </si>
  <si>
    <t>W.K.SUNIL SHANTHA</t>
  </si>
  <si>
    <t>A.G.GUNASENA</t>
  </si>
  <si>
    <t>D.SUMANASENA</t>
  </si>
  <si>
    <t>AA</t>
  </si>
  <si>
    <t>B.L.INOKA</t>
  </si>
  <si>
    <t>W.G.CHAMINDA WASANTHA KUMARA</t>
  </si>
  <si>
    <t>P.G.SHAMANTHA</t>
  </si>
  <si>
    <t>J.D.SIRISENA</t>
  </si>
  <si>
    <t>M.L.SANATH KUMARA</t>
  </si>
  <si>
    <t>S.S.HATHARASINGHE</t>
  </si>
  <si>
    <t>W.L.WILSON</t>
  </si>
  <si>
    <t>CT</t>
  </si>
  <si>
    <t>SANDUN KARUNARATHNA</t>
  </si>
  <si>
    <t>H.G.JAYALATH</t>
  </si>
  <si>
    <t>K.A.L.C.LAKMAL.</t>
  </si>
  <si>
    <t>W.SABITHA</t>
  </si>
  <si>
    <t>M.G.KUMARASIRI.</t>
  </si>
  <si>
    <t>D.S.L.SENAWIRATHNA.</t>
  </si>
  <si>
    <t>DISAKANKANANGE CHAMPA DEEPTHI</t>
  </si>
  <si>
    <t>M.G.PRADEEP SURANGA.</t>
  </si>
  <si>
    <t>N.W.J JAYARATHNA.</t>
  </si>
  <si>
    <t>T.V.DANUKA SAHAN</t>
  </si>
  <si>
    <t>A.W.KARUNARATHNA.</t>
  </si>
  <si>
    <t>Guarantors; 3847 O.G. Anushka</t>
  </si>
  <si>
    <t>G.S.D. ABEYGUNASEKARA</t>
  </si>
  <si>
    <t>D.P.LAHIRU SADARU</t>
  </si>
  <si>
    <t>S.S.DASANAYAKA.</t>
  </si>
  <si>
    <t>Y.K.S.ROHANA</t>
  </si>
  <si>
    <t>loan recovery (Rs. 13,651), Fertilizer recovery (Rs. 8,850) and other recoveries (Rs. 4,748)</t>
  </si>
  <si>
    <t>Guarantors; 427 Anoma Induwathie, 7643 Shanika Dedunu</t>
  </si>
  <si>
    <t>L.K.DEEPA KANTHI</t>
  </si>
  <si>
    <t>J.A.G.A.U. BUDDIKA</t>
  </si>
  <si>
    <t>M.K. RUPAWATHI</t>
  </si>
  <si>
    <t>H.L.Y.BUDDIMAL</t>
  </si>
  <si>
    <t>W.A.THARAKA</t>
  </si>
  <si>
    <t>Guarantors; 7423 - PW Karunarathna, 4899 - SW Karunarathna</t>
  </si>
  <si>
    <t>H.B.N.N.EDIRIWEER</t>
  </si>
  <si>
    <t>W.G.S.PUSHPA KUMA</t>
  </si>
  <si>
    <t>M.V.LALITHA</t>
  </si>
  <si>
    <t>G.L.H.RAMANIE</t>
  </si>
  <si>
    <t>K.M.KARUNARATHNA</t>
  </si>
  <si>
    <t>D.S.P.ANURA JAYAT</t>
  </si>
  <si>
    <t>T.G.RAVINDRA KUMA</t>
  </si>
  <si>
    <t>O.K.D.DISNA KUMAR</t>
  </si>
  <si>
    <t>P.ABEYGUNAWARDANA</t>
  </si>
  <si>
    <t>W.K.PREMARATHNE</t>
  </si>
  <si>
    <t>W.A.K.NISHANTHA P</t>
  </si>
  <si>
    <t>M.K.KASUN KUMARA.</t>
  </si>
  <si>
    <t>E.W.K.WASANTHA.</t>
  </si>
  <si>
    <t>R.G.BIMANSA.</t>
  </si>
  <si>
    <t>H.G.PRAGEETH MADU</t>
  </si>
  <si>
    <t>Hingalgoda Tea Factory</t>
  </si>
  <si>
    <t>91 - 180 : If not setttled by End. Oct, Police entries will be lodged</t>
  </si>
  <si>
    <t>AKW</t>
  </si>
  <si>
    <t>Recover for Future Month. October supply Nil. Before, the month end will recommence the supply.</t>
  </si>
  <si>
    <t>leaf provied</t>
  </si>
  <si>
    <t>MAD</t>
  </si>
  <si>
    <t>H.B.N.N.EDIRIWEERA.</t>
  </si>
  <si>
    <t>It's expected to recover or leagel in the future. Factory to check the past records and revert within 2 weeks.</t>
  </si>
  <si>
    <t>It's expected to recover or leagel in the future</t>
  </si>
  <si>
    <t>DUL</t>
  </si>
  <si>
    <t>H.A.CHAMINDA KUMARA.</t>
  </si>
  <si>
    <t>H.SARATH.</t>
  </si>
  <si>
    <t>H/W</t>
  </si>
  <si>
    <t>Recover for Future Month</t>
  </si>
  <si>
    <t>O.K.D.DISNA KUMARI.</t>
  </si>
  <si>
    <t>T.G.RAVINDRA KUMARA.</t>
  </si>
  <si>
    <t>Refer to samathamandalaya</t>
  </si>
  <si>
    <t>W.A.K.NISHANTHA PRADEEP.</t>
  </si>
  <si>
    <t>D.L.SEETHA</t>
  </si>
  <si>
    <t>HAP</t>
  </si>
  <si>
    <t>A.H.SENANAYAKA</t>
  </si>
  <si>
    <t>H.G.PRAGEETH MADUSHAN</t>
  </si>
  <si>
    <t>GUN</t>
  </si>
  <si>
    <t>M.K.SEELAWATHI.</t>
  </si>
  <si>
    <t>THA</t>
  </si>
  <si>
    <t>P.G.INDIKA SAMANTHI.</t>
  </si>
  <si>
    <t>A.W.RAWINU ABESINGHA</t>
  </si>
  <si>
    <t>ARY</t>
  </si>
  <si>
    <t>LAKSHMAN MUTHUGALGE</t>
  </si>
  <si>
    <t>H.SARATH</t>
  </si>
  <si>
    <t>NA</t>
  </si>
  <si>
    <t>G.G.PIYASEELI</t>
  </si>
  <si>
    <t>NUGAGALA   23.05.2003</t>
  </si>
  <si>
    <t>P.L.NADEEKA SANDAMALI</t>
  </si>
  <si>
    <t>HAB</t>
  </si>
  <si>
    <t>U.P.G.PREMALATHA.</t>
  </si>
  <si>
    <t>BGP</t>
  </si>
  <si>
    <t>THARINDU MADHUSHANKA EKANAYAKE</t>
  </si>
  <si>
    <t>Property solled And Leagel in the Future</t>
  </si>
  <si>
    <t>P.G.T.RANJITH</t>
  </si>
  <si>
    <t>It's expected to recover or leagel in the future. Rs. 500 settled in October 21</t>
  </si>
  <si>
    <t>W.S.HAPUGODA</t>
  </si>
  <si>
    <t>Will be  recover P.B. 1233</t>
  </si>
  <si>
    <t>U.S ANURANGA SENEVIRATHNA</t>
  </si>
  <si>
    <t>B.D.A WICKRAMASINGHE</t>
  </si>
  <si>
    <t>A.G.SOMASIRI.</t>
  </si>
  <si>
    <t>LALANI JAYAWARDANA.</t>
  </si>
  <si>
    <t>M.G.JAGATH JAYASIRI.</t>
  </si>
  <si>
    <t>NUG</t>
  </si>
  <si>
    <t>H.L.PRABATH</t>
  </si>
  <si>
    <t>leaf provied. Plan to settle 50% by the End Oct 21. If not, go for a police entry.</t>
  </si>
  <si>
    <t>P.L.NISAL THAMALAKA</t>
  </si>
  <si>
    <t>Police entry to be lodged if not settled within the month</t>
  </si>
  <si>
    <t>A.H.NISHANTHA RANGANA</t>
  </si>
  <si>
    <t>leaf provied. To be followed up with the Supplier to settle the full outstading amount</t>
  </si>
  <si>
    <t>E.GUNASEKARA</t>
  </si>
  <si>
    <t>K.A.PREMASINGHE</t>
  </si>
  <si>
    <t>P.M.G.PIYADASA</t>
  </si>
  <si>
    <t>N.W.K.UDEKA SAMANMALI</t>
  </si>
  <si>
    <t>K.P.CHANDIKA DINUJA.</t>
  </si>
  <si>
    <t>B.G.DINESHA SUMUTHU</t>
  </si>
  <si>
    <t>E.RAJITHA NIROSHANA</t>
  </si>
  <si>
    <t>H.M.DHARMASENA</t>
  </si>
  <si>
    <t>H.L.ASHOKANANDA</t>
  </si>
  <si>
    <t>H.K.A.INDRAWATHIE</t>
  </si>
  <si>
    <t>KHK</t>
  </si>
  <si>
    <t>S H KASUN</t>
  </si>
  <si>
    <t>K.A.NANDANA</t>
  </si>
  <si>
    <t>T.P.G.IMASHA NISHANI</t>
  </si>
  <si>
    <t>PRAGEETH WANIGARATHNA.</t>
  </si>
  <si>
    <t>Rate @ Rs. 90/-</t>
  </si>
  <si>
    <t>A.K.GAMINI</t>
  </si>
  <si>
    <t>A.H.AJITH</t>
  </si>
  <si>
    <t>A.V.D.GEETHANANDA</t>
  </si>
  <si>
    <t>K.M.EKANAYAKA</t>
  </si>
  <si>
    <t>P.S.A.JAYASINGHA</t>
  </si>
  <si>
    <t xml:space="preserve"> H.M.LAL</t>
  </si>
  <si>
    <t xml:space="preserve"> K.N.GODAWATTA</t>
  </si>
  <si>
    <t>W.Anusha Perera</t>
  </si>
  <si>
    <t>M.G.A.Dilruckshi</t>
  </si>
  <si>
    <t>M.H.M.CHANDANI</t>
  </si>
  <si>
    <t>H.B.L.Gamini</t>
  </si>
  <si>
    <t>E.S.Hashan</t>
  </si>
  <si>
    <t xml:space="preserve">Recovery not in progress. </t>
  </si>
  <si>
    <t>T.H.Gunarathna</t>
  </si>
  <si>
    <t>G.Rohitha</t>
  </si>
  <si>
    <t>Recovery not in progress. Agreed to supply GL in small quantties (20 Kgs per month)</t>
  </si>
  <si>
    <t>D.S.Sumith</t>
  </si>
  <si>
    <t>Providing GL in small amounts. Agreed to pay at least Rs. 20,000 by cash during October. Recovered 1,495 during November.</t>
  </si>
  <si>
    <t>K.H.Wasantha Rathnayaka</t>
  </si>
  <si>
    <t>Recovery in progress. Agreed to supply GL (100 Kgs per month)</t>
  </si>
  <si>
    <t>I.K.Ajith Kumara</t>
  </si>
  <si>
    <t>Recovery not in progress (Agreed to settle by cash - Rs. 5,000 per month)</t>
  </si>
  <si>
    <t>Advance - Sep</t>
  </si>
  <si>
    <t>GL Supply - Sep</t>
  </si>
  <si>
    <t>H.H.Ranjith Chandrasiri</t>
  </si>
  <si>
    <t>A.H.Ajith</t>
  </si>
  <si>
    <t>A.K.Gamini</t>
  </si>
  <si>
    <t>U.G.Priyantha</t>
  </si>
  <si>
    <t>A.H.Lalith Indika</t>
  </si>
  <si>
    <t>Legal Case at samathamandalaya was postponed due to COVID 19</t>
  </si>
  <si>
    <t>Legal Case at Samathamandalaya was postponed due to Covid 19</t>
  </si>
  <si>
    <t xml:space="preserve">Agreed to settle by cash Rs 5000/- per month. </t>
  </si>
  <si>
    <t>Agreed to settle by cash Rs 5000/- per month</t>
  </si>
  <si>
    <t>Agreed to settle by supplying small quantity of Leaf. If not settled within the month, a police complaint will be lodged</t>
  </si>
  <si>
    <t>Agreed to settle by supplying small Quantity of leaf</t>
  </si>
  <si>
    <t>W.ANUSHA PERERA</t>
  </si>
  <si>
    <t>W.S.P.DILRUCKSHI</t>
  </si>
  <si>
    <t>Agreed to Supplying Small Quantity of leaf for settle</t>
  </si>
  <si>
    <t>Agreed to supplying Small quantity of leaf for settle</t>
  </si>
  <si>
    <t>CHATHURIKA MADHUSHANI Ganewatta</t>
  </si>
  <si>
    <t>T.H.GUNARATHNA</t>
  </si>
  <si>
    <t>DK</t>
  </si>
  <si>
    <t>A.G.LALITHA</t>
  </si>
  <si>
    <t>WIJEWICKRAMA D.A.</t>
  </si>
  <si>
    <t>H.M.LAL</t>
  </si>
  <si>
    <t>D.C.D.WICKRAMATHUNGA</t>
  </si>
  <si>
    <t>A.W.M.S.N.SAPUMAL BANDARA</t>
  </si>
  <si>
    <t>Currently this was settled</t>
  </si>
  <si>
    <t>Will be recovered in this month</t>
  </si>
  <si>
    <t>U.G.KAPILA BANDULA</t>
  </si>
  <si>
    <t>G.NANDASARA</t>
  </si>
  <si>
    <t>M.W.CHANDRALATHA</t>
  </si>
  <si>
    <t>WICKTOR B.L.G.</t>
  </si>
  <si>
    <t>Active Supplier - Will be recovered in this month</t>
  </si>
  <si>
    <t>K CHAMINDA KUMARA</t>
  </si>
  <si>
    <t>BP</t>
  </si>
  <si>
    <t>Active Supplier. Will Be Recovered on this month</t>
  </si>
  <si>
    <t>N.G.DHARMASIRI</t>
  </si>
  <si>
    <t>T.P.G.PREMALAL</t>
  </si>
  <si>
    <t>AP</t>
  </si>
  <si>
    <t>H K G WASANTHA</t>
  </si>
  <si>
    <t>G.G.GAMINIE</t>
  </si>
  <si>
    <t>H.K.S.DE SILVA..</t>
  </si>
  <si>
    <t>M Dahanayaka</t>
  </si>
  <si>
    <t>D P THILANGA JAYASENA</t>
  </si>
  <si>
    <t>A.H.A.K.GUNAWARDANA</t>
  </si>
  <si>
    <t>K A G D Priyantha Udaya Kumara</t>
  </si>
  <si>
    <t>DM</t>
  </si>
  <si>
    <t>W.I.N.WIJESINGHE</t>
  </si>
  <si>
    <t>N.G.GUNASENA</t>
  </si>
  <si>
    <t>May 2021</t>
  </si>
  <si>
    <t>April 2021</t>
  </si>
  <si>
    <t>Amount (Rs) - April</t>
  </si>
  <si>
    <t>Quantity Supplied in April</t>
  </si>
  <si>
    <t>Remarks -May</t>
  </si>
  <si>
    <r>
      <rPr>
        <sz val="11"/>
        <rFont val="Calibri"/>
        <charset val="134"/>
        <scheme val="minor"/>
      </rPr>
      <t xml:space="preserve">Active Supplier -Recoverey This month. </t>
    </r>
    <r>
      <rPr>
        <sz val="11"/>
        <color rgb="FFFF0000"/>
        <rFont val="Calibri"/>
        <charset val="134"/>
        <scheme val="minor"/>
      </rPr>
      <t>Significant drop in MoM supply</t>
    </r>
    <r>
      <rPr>
        <sz val="11"/>
        <rFont val="Calibri"/>
        <charset val="134"/>
        <scheme val="minor"/>
      </rPr>
      <t>. Full amount recovered.</t>
    </r>
  </si>
  <si>
    <t>N.G.S.BANDULA</t>
  </si>
  <si>
    <r>
      <rPr>
        <sz val="11"/>
        <rFont val="Calibri"/>
        <charset val="134"/>
        <scheme val="minor"/>
      </rPr>
      <t xml:space="preserve">Flood Flow. </t>
    </r>
    <r>
      <rPr>
        <sz val="11"/>
        <color rgb="FFFF0000"/>
        <rFont val="Calibri"/>
        <charset val="134"/>
        <scheme val="minor"/>
      </rPr>
      <t>Superintendent has visited the supplier and recovery within June 21</t>
    </r>
  </si>
  <si>
    <t>M.A.Kalyani</t>
  </si>
  <si>
    <r>
      <rPr>
        <sz val="11"/>
        <rFont val="Calibri"/>
        <charset val="134"/>
        <scheme val="minor"/>
      </rPr>
      <t>Flood Flow.</t>
    </r>
    <r>
      <rPr>
        <sz val="11"/>
        <color rgb="FFFF0000"/>
        <rFont val="Calibri"/>
        <charset val="134"/>
        <scheme val="minor"/>
      </rPr>
      <t xml:space="preserve"> Supplier has equested for a grace period to settle the debt.</t>
    </r>
  </si>
  <si>
    <r>
      <rPr>
        <sz val="11"/>
        <rFont val="Calibri"/>
        <charset val="134"/>
        <scheme val="minor"/>
      </rPr>
      <t xml:space="preserve">Flood Flow. </t>
    </r>
    <r>
      <rPr>
        <sz val="11"/>
        <color rgb="FFFF0000"/>
        <rFont val="Calibri"/>
        <charset val="134"/>
        <scheme val="minor"/>
      </rPr>
      <t>Superintendent has visited the supplier, who requested a grace period for settlement, and recovery within June 21</t>
    </r>
    <r>
      <rPr>
        <sz val="11"/>
        <rFont val="Calibri"/>
        <charset val="134"/>
        <scheme val="minor"/>
      </rPr>
      <t xml:space="preserve">. </t>
    </r>
  </si>
  <si>
    <t>Active Supplier -Recoverey This month. 159 kg in June 21</t>
  </si>
  <si>
    <t>K G KUSUMAWATHI</t>
  </si>
  <si>
    <t>Active Supplier -Recoverey This month. Fully recovered.</t>
  </si>
  <si>
    <t>Active Supplier -Recoverey This month</t>
  </si>
  <si>
    <t>M.G.Ranjith</t>
  </si>
  <si>
    <r>
      <rPr>
        <sz val="11"/>
        <rFont val="Calibri"/>
        <charset val="134"/>
        <scheme val="minor"/>
      </rPr>
      <t>Active Supplier -Recoverey This month.</t>
    </r>
    <r>
      <rPr>
        <sz val="11"/>
        <color rgb="FFFF0000"/>
        <rFont val="Calibri"/>
        <charset val="134"/>
        <scheme val="minor"/>
      </rPr>
      <t xml:space="preserve"> Significant drop in MoM supply</t>
    </r>
  </si>
  <si>
    <r>
      <rPr>
        <sz val="11"/>
        <rFont val="Calibri"/>
        <charset val="134"/>
        <scheme val="minor"/>
      </rPr>
      <t>Agreed to Supplied Green Leaf.</t>
    </r>
    <r>
      <rPr>
        <sz val="11"/>
        <color rgb="FFFF0000"/>
        <rFont val="Calibri"/>
        <charset val="134"/>
        <scheme val="minor"/>
      </rPr>
      <t xml:space="preserve"> Supplier is a drop out. Recovery plan is required. Acknowledgement letter has been submitted</t>
    </r>
  </si>
  <si>
    <t xml:space="preserve">Agreed to settle by cash  </t>
  </si>
  <si>
    <r>
      <rPr>
        <sz val="11"/>
        <rFont val="Calibri"/>
        <charset val="134"/>
        <scheme val="minor"/>
      </rPr>
      <t>Agreed to Supplied Green Leaf.</t>
    </r>
    <r>
      <rPr>
        <sz val="11"/>
        <color rgb="FFFF0000"/>
        <rFont val="Calibri"/>
        <charset val="134"/>
        <scheme val="minor"/>
      </rPr>
      <t xml:space="preserve"> Same comment as last month but supplier is a drop out. Recovery plan is required.</t>
    </r>
    <r>
      <rPr>
        <sz val="11"/>
        <rFont val="Calibri"/>
        <charset val="134"/>
        <scheme val="minor"/>
      </rPr>
      <t xml:space="preserve"> 1,000 settled by Cash in June. Monthly payment of Rs. 1,000 will be made.</t>
    </r>
  </si>
  <si>
    <t>Agreed to supplied Small quontity erery month</t>
  </si>
  <si>
    <r>
      <rPr>
        <sz val="11"/>
        <rFont val="Calibri"/>
        <charset val="134"/>
        <scheme val="minor"/>
      </rPr>
      <t>Recoverey This month.</t>
    </r>
    <r>
      <rPr>
        <sz val="11"/>
        <color rgb="FFFF0000"/>
        <rFont val="Calibri"/>
        <charset val="134"/>
        <scheme val="minor"/>
      </rPr>
      <t xml:space="preserve"> Same comment as last month but May supply is zero. Recovery plan is required.</t>
    </r>
    <r>
      <rPr>
        <sz val="11"/>
        <rFont val="Calibri"/>
        <charset val="134"/>
        <scheme val="minor"/>
      </rPr>
      <t xml:space="preserve"> Acknowledgement has been obtained. Will supply in June 21</t>
    </r>
  </si>
  <si>
    <t>Agreed to supplied Green Leaf</t>
  </si>
  <si>
    <r>
      <rPr>
        <sz val="11"/>
        <rFont val="Calibri"/>
        <charset val="134"/>
        <scheme val="minor"/>
      </rPr>
      <t xml:space="preserve">Agreed to Supplied Green Leaf. </t>
    </r>
    <r>
      <rPr>
        <sz val="11"/>
        <color rgb="FFFF0000"/>
        <rFont val="Calibri"/>
        <charset val="134"/>
        <scheme val="minor"/>
      </rPr>
      <t>Insignficant supply</t>
    </r>
    <r>
      <rPr>
        <sz val="11"/>
        <rFont val="Calibri"/>
        <charset val="134"/>
        <scheme val="minor"/>
      </rPr>
      <t xml:space="preserve">.  </t>
    </r>
    <r>
      <rPr>
        <sz val="11"/>
        <color rgb="FFFF0000"/>
        <rFont val="Calibri"/>
        <charset val="134"/>
        <scheme val="minor"/>
      </rPr>
      <t>Recovery plan is required. 8 kg supplied.</t>
    </r>
  </si>
  <si>
    <r>
      <rPr>
        <sz val="11"/>
        <rFont val="Calibri"/>
        <charset val="134"/>
        <scheme val="minor"/>
      </rPr>
      <t xml:space="preserve">Recovered from the Leaf transport Payment. </t>
    </r>
    <r>
      <rPr>
        <sz val="11"/>
        <color rgb="FFFF0000"/>
        <rFont val="Calibri"/>
        <charset val="134"/>
        <scheme val="minor"/>
      </rPr>
      <t>Drop out supplier. Recovered in full in June/</t>
    </r>
  </si>
  <si>
    <t>GAJANAYAKE.S.</t>
  </si>
  <si>
    <r>
      <rPr>
        <sz val="11"/>
        <rFont val="Calibri"/>
        <charset val="134"/>
        <scheme val="minor"/>
      </rPr>
      <t xml:space="preserve">Active Supplier -Recoverey This month.  </t>
    </r>
    <r>
      <rPr>
        <sz val="11"/>
        <color rgb="FFFF0000"/>
        <rFont val="Calibri"/>
        <charset val="134"/>
        <scheme val="minor"/>
      </rPr>
      <t>Zero supply in May</t>
    </r>
    <r>
      <rPr>
        <sz val="11"/>
        <rFont val="Calibri"/>
        <charset val="134"/>
        <scheme val="minor"/>
      </rPr>
      <t>. Fully recovered by cash. Land pruned.</t>
    </r>
  </si>
  <si>
    <r>
      <rPr>
        <sz val="11"/>
        <rFont val="Calibri"/>
        <charset val="134"/>
        <scheme val="minor"/>
      </rPr>
      <t xml:space="preserve">Agreed to  settle by cash . </t>
    </r>
    <r>
      <rPr>
        <sz val="11"/>
        <color rgb="FFFF0000"/>
        <rFont val="Calibri"/>
        <charset val="134"/>
        <scheme val="minor"/>
      </rPr>
      <t>Zero supply in May</t>
    </r>
  </si>
  <si>
    <r>
      <rPr>
        <sz val="11"/>
        <rFont val="Calibri"/>
        <charset val="134"/>
        <scheme val="minor"/>
      </rPr>
      <t xml:space="preserve">Recovery not in progress. </t>
    </r>
    <r>
      <rPr>
        <sz val="11"/>
        <color rgb="FFFF0000"/>
        <rFont val="Calibri"/>
        <charset val="134"/>
        <scheme val="minor"/>
      </rPr>
      <t xml:space="preserve"> Recovery plan is required.</t>
    </r>
  </si>
  <si>
    <t>HEWAVITHANA S.J</t>
  </si>
  <si>
    <r>
      <rPr>
        <sz val="11"/>
        <rFont val="Calibri"/>
        <charset val="134"/>
        <scheme val="minor"/>
      </rPr>
      <t xml:space="preserve">Agreed to Supplied Green Leaf. </t>
    </r>
    <r>
      <rPr>
        <sz val="11"/>
        <color rgb="FFFF0000"/>
        <rFont val="Calibri"/>
        <charset val="134"/>
        <scheme val="minor"/>
      </rPr>
      <t>Clear timeline of the recovery is required.</t>
    </r>
  </si>
  <si>
    <t>N.G.YASARATNA</t>
  </si>
  <si>
    <t>Recovered from the Leaf transport Payment</t>
  </si>
  <si>
    <t>Recovery not in progress. Debtor and TP agent is not be found and debt comes from 2017 onwards.</t>
  </si>
  <si>
    <t xml:space="preserve">Hearings at Samata Mandalaya has been postponed due to COVID19. will be taken legal actions </t>
  </si>
  <si>
    <t>Agreed to supplied Small quontity for month</t>
  </si>
  <si>
    <t>Agreed to 5000/= settle by cash  every month</t>
  </si>
  <si>
    <r>
      <rPr>
        <sz val="11"/>
        <rFont val="Calibri"/>
        <charset val="134"/>
        <scheme val="minor"/>
      </rPr>
      <t xml:space="preserve">Agreed to  settle by cash. </t>
    </r>
    <r>
      <rPr>
        <sz val="11"/>
        <color rgb="FFFF0000"/>
        <rFont val="Calibri"/>
        <charset val="134"/>
        <scheme val="minor"/>
      </rPr>
      <t>Same comment but no settlements</t>
    </r>
    <r>
      <rPr>
        <sz val="11"/>
        <rFont val="Calibri"/>
        <charset val="134"/>
        <scheme val="minor"/>
      </rPr>
      <t>. To be settled in June 21</t>
    </r>
  </si>
  <si>
    <t xml:space="preserve">Agreed to settle by cash </t>
  </si>
  <si>
    <r>
      <rPr>
        <sz val="11"/>
        <rFont val="Calibri"/>
        <charset val="134"/>
        <scheme val="minor"/>
      </rPr>
      <t xml:space="preserve">Agreed to  settle by cash. </t>
    </r>
    <r>
      <rPr>
        <sz val="11"/>
        <color rgb="FFFF0000"/>
        <rFont val="Calibri"/>
        <charset val="134"/>
        <scheme val="minor"/>
      </rPr>
      <t>Same comment but no settlements</t>
    </r>
    <r>
      <rPr>
        <sz val="11"/>
        <rFont val="Calibri"/>
        <charset val="134"/>
        <scheme val="minor"/>
      </rPr>
      <t>. Acknowldement has been obtained. A Complaint to be lodged.</t>
    </r>
  </si>
  <si>
    <t>Agreed to 500/= settle by cash  every month</t>
  </si>
  <si>
    <t>TP agent issue - 2017</t>
  </si>
  <si>
    <t>R.M.G.RANASINGHA</t>
  </si>
  <si>
    <t>Can be recovery this month</t>
  </si>
  <si>
    <t>S.H.JAYASENA</t>
  </si>
  <si>
    <t>Green Leaf Supply</t>
  </si>
  <si>
    <t>M.H.AINERISH</t>
  </si>
  <si>
    <t>N.G.JAYASEKARA</t>
  </si>
  <si>
    <t>Debt has increased due to recoveries. (Loan - 27,832)</t>
  </si>
  <si>
    <t>J.M.B.PRADEEPIKA</t>
  </si>
  <si>
    <t>Debt has increased due to recoveries. (Loan - 11,132)</t>
  </si>
  <si>
    <t>U.M.RAVINDRA</t>
  </si>
  <si>
    <t>K.G.UPALI GUNASENA</t>
  </si>
  <si>
    <t>P.W.J.SENARATHNE</t>
  </si>
  <si>
    <t>Recovery in Progress - Agreed to provide 360 Kgs of GL per month. However he has only provided 162 Kgs in July and 99 Kgs in Oct. Further, He has not replied to letter of demand within 14 days. Therefore legal actions have already be taken</t>
  </si>
  <si>
    <t>W.J.A.FERNANDO</t>
  </si>
  <si>
    <t>D.P.ABEYRATHNE</t>
  </si>
  <si>
    <t>Agreed to provide 250 Kgs of GL per month. However he has only provided 90 Kgs in July. He has not replied to letter of demand within 14 days. Therefore legal actions have already been taken.</t>
  </si>
  <si>
    <t>W.JAYARATHNE</t>
  </si>
  <si>
    <t xml:space="preserve">Recovery in progress - Agreed to pay Rs. 6,000/- by cash per month. </t>
  </si>
  <si>
    <t>Tea Smallholder Factories PLC</t>
  </si>
  <si>
    <t>Karawita Tea Factory</t>
  </si>
  <si>
    <t>Bought Leaf Debtors as at 31st December 2019</t>
  </si>
  <si>
    <t>Route</t>
  </si>
  <si>
    <t>14093 - C.PRIYANGIKA</t>
  </si>
  <si>
    <t>Kehelowitigama</t>
  </si>
  <si>
    <t>13925 - R.B.SHANTHI</t>
  </si>
  <si>
    <t>13224 - T.S.D.THANAPATHI</t>
  </si>
  <si>
    <t>K.M.H.S.Rupasinghe</t>
  </si>
  <si>
    <r>
      <rPr>
        <sz val="11"/>
        <color rgb="FFFF0000"/>
        <rFont val="Calibri"/>
        <charset val="134"/>
        <scheme val="minor"/>
      </rPr>
      <t>Possible dropout. Letter of demand has been sent. SH has proposed to settle Rs. 5,000 per month. However Supdt had informed to settle Rs. 5,000 to 10,000 per month.</t>
    </r>
    <r>
      <rPr>
        <b/>
        <sz val="11"/>
        <color rgb="FFFF0000"/>
        <rFont val="Calibri"/>
        <charset val="134"/>
        <scheme val="minor"/>
      </rPr>
      <t>Has moved to above 180 days.</t>
    </r>
  </si>
  <si>
    <t>K.U.C.R.Wijerathna</t>
  </si>
  <si>
    <t>Arrangement is to hire the lorry at a cost of 25,000 per month. 10,000 will be recovered for the debt.</t>
  </si>
  <si>
    <t>W.K.Darmasena</t>
  </si>
  <si>
    <t>Supplier has complained Tea Board. Assistant Tea Commissioner informed he will send his comments soon. I met Assistant Tea Commissioner on the 23rd January and he said that he will follow up.</t>
  </si>
  <si>
    <t>H.A.Nirmal</t>
  </si>
  <si>
    <t>Possible dropout. Not in the address. Police entry will be made at the end of Oct. Recovering in small quantities.</t>
  </si>
  <si>
    <t>R.Siripala</t>
  </si>
  <si>
    <t>M.Chinthaka</t>
  </si>
  <si>
    <t>Possible dropout. Replanting recovery - 4529.73 Land is pruned. Agreed to provide green leaf.</t>
  </si>
  <si>
    <t>K.B.N.Premarathna</t>
  </si>
  <si>
    <t>Last supply was in March 2019, 7 Kg.
Factory is in the process of receovering this balance. Premarathna is not in the area.</t>
  </si>
  <si>
    <t>M.K.L.R.Chamara</t>
  </si>
  <si>
    <t>Last supply was in August 2018, 253 Kg. Smallholder  has given a letter agreeing that the debt will be settled by cash Rs. 10,000 per month from 25th July 2019 onwards.</t>
  </si>
  <si>
    <t>G.A.C.P.Jayasena</t>
  </si>
  <si>
    <t>Made a police entry</t>
  </si>
  <si>
    <t>H.A.N.Naleen</t>
  </si>
  <si>
    <t>Last supply was in September 2018, 25 Kg. No leaf supply or cash payment since then</t>
  </si>
  <si>
    <t>D.L.Umayanga</t>
  </si>
  <si>
    <t>R.A.N.Rupasinghe</t>
  </si>
  <si>
    <t>Last supply was in September 2018, 38 Kg. No leaf supply or cash payment since then</t>
  </si>
  <si>
    <t>H.V.S.Hapuarachchi</t>
  </si>
  <si>
    <t xml:space="preserve">Last supply was in September 2018, 50 Kg. No leaf supply or cash payment since then. </t>
  </si>
  <si>
    <t>P.K.D.Amaradasa</t>
  </si>
  <si>
    <t xml:space="preserve">Written instructions were given to settle debts. </t>
  </si>
  <si>
    <t>G.W.Chandima</t>
  </si>
  <si>
    <t xml:space="preserve">Last supply was in August 2018, 12 Kg. This line was stopped due to the high cost. </t>
  </si>
  <si>
    <t>M.K.Sandamali</t>
  </si>
  <si>
    <t>Line supervisor has advised the Smallholder to recover debt. However supplier has sold the tea land.</t>
  </si>
  <si>
    <t>P.L.D.G.H.Senevirathna</t>
  </si>
  <si>
    <t>Last supply was in August 2018, 99 Kg.
No leaf supply or cash payment since then</t>
  </si>
  <si>
    <t>H.D.A.Anthani</t>
  </si>
  <si>
    <t>Last supply was in August 2018, 22 Kg.
Agreed to supply leaf if the factory sends a lorry.</t>
  </si>
  <si>
    <t>N.W.Karunarathna</t>
  </si>
  <si>
    <t>Last supply was in August 2018.
Agreed to supply leaf if the factory sends a lorry.</t>
  </si>
  <si>
    <t>M.E.D.Hashani</t>
  </si>
  <si>
    <t xml:space="preserve">Last supply was in October 2018.
Smallholder is in the view that they have already supplied leaf to recover debts. </t>
  </si>
  <si>
    <t>S.I.Manawage</t>
  </si>
  <si>
    <t>Recovery not in progress - Will be recovered from the line supervisor, Rs. 100 per each month.</t>
  </si>
  <si>
    <t>G.R.D.C.Sandaruwan</t>
  </si>
  <si>
    <t xml:space="preserve">Last supply was on November 2018, 23 Kg. 
Smallholder is in the view that they have already supplied leaf to recover debts. </t>
  </si>
  <si>
    <t>New Panawenna Tea Factory</t>
  </si>
  <si>
    <t>COL</t>
  </si>
  <si>
    <t>MC case pending</t>
  </si>
  <si>
    <t>P.W.JAGATH SENARATHNE</t>
  </si>
  <si>
    <t>Recovery in Progress - Agreement Signed</t>
  </si>
  <si>
    <t>D.P.Aberathne</t>
  </si>
  <si>
    <t>Rs.15,000/- is recovering From June, 2021 onwards. Agreements Signed</t>
  </si>
  <si>
    <t>Due to covied situation not in a possition to pay</t>
  </si>
  <si>
    <t>TP Agent</t>
  </si>
  <si>
    <t>Y.A.D.Keerthi</t>
  </si>
  <si>
    <t>Received Rs 3000/- in October 2021</t>
  </si>
  <si>
    <t>HAW</t>
  </si>
  <si>
    <t>Supplier not in the area</t>
  </si>
  <si>
    <t>D.SAMANTHA ABESUNDARA</t>
  </si>
  <si>
    <t>Parakaruwa leaf route not functioning</t>
  </si>
  <si>
    <t>M.M.RANIL</t>
  </si>
  <si>
    <t>welagapola leaf route not function and line supervisor agreed to pad out standing instalments</t>
  </si>
  <si>
    <t>A.S RAJAKARUNA</t>
  </si>
  <si>
    <t>agreed rate not paid</t>
  </si>
  <si>
    <t>M.B.CHANDARATHNA</t>
  </si>
  <si>
    <t>L.A.M.G.KUMARA</t>
  </si>
  <si>
    <t>Panvila Leaf route not functioning</t>
  </si>
  <si>
    <t>D.K.MADUUSHA</t>
  </si>
  <si>
    <t>L.A.T.DAMAYANTHI</t>
  </si>
  <si>
    <t>PNW</t>
  </si>
  <si>
    <t>M.G.GAMINIE.</t>
  </si>
  <si>
    <t>K. WIJEKUMARA</t>
  </si>
  <si>
    <t>Already Recover-Month of October</t>
  </si>
  <si>
    <t>E.A MAHENDRA ATHUKORALA</t>
  </si>
  <si>
    <t>Can be Recover -Month Of October</t>
  </si>
  <si>
    <t>OPA</t>
  </si>
  <si>
    <t>K.K.D.SARATH DHARMARATNE</t>
  </si>
  <si>
    <t>can be recover This month</t>
  </si>
  <si>
    <t>BIB</t>
  </si>
  <si>
    <t>A.DHARMADASA</t>
  </si>
  <si>
    <t>RAN</t>
  </si>
  <si>
    <t>G.SAMAN KUMARA</t>
  </si>
  <si>
    <t>Welagapola, Panwila and Parakaduwa Routes - Timeline for payments</t>
  </si>
  <si>
    <t>Welagpola - New factory route stated. Gradually recovery from the debtors.</t>
  </si>
  <si>
    <t>Panvila leaf route not functioning,  but suppliers agreed  to pay  cash</t>
  </si>
  <si>
    <t>W.N.N Chandrarathna</t>
  </si>
  <si>
    <t>Case No. 6134. Next hearing on 29/07/2021. Warrant Issued.</t>
  </si>
  <si>
    <t>Rs.15,000/- is recovering From May, 2021 onwards. Agreements Signed</t>
  </si>
  <si>
    <t>Rs. 1000/- paid in May, 2021. June recovery pending.</t>
  </si>
  <si>
    <t>Rs. 2,000 monthly payments to be made.  Action willbe taken.</t>
  </si>
  <si>
    <t>supplier not in the area</t>
  </si>
  <si>
    <t>Parakaruwa leaf route not functioning,  but suppliers agreed  to pay  cash</t>
  </si>
  <si>
    <t>Line agent</t>
  </si>
  <si>
    <t>5000/- paid on 19/05/2021 . June payment will be made within the month</t>
  </si>
  <si>
    <t>U.G. SELAWATHI</t>
  </si>
  <si>
    <t>continuous leaf supplying -small quantities</t>
  </si>
  <si>
    <t>RKA</t>
  </si>
  <si>
    <t>K.M.H.S.RUPASINGHE</t>
  </si>
  <si>
    <t>Legal Case Filed - 2nd Hearing on 30.07.2021</t>
  </si>
  <si>
    <t>Legal Case Filed - 1st Hearing on 29.03.2021</t>
  </si>
  <si>
    <t>K.B.N.PREMARATHNA</t>
  </si>
  <si>
    <t>Nirmal Agreed to supply on behalf of Premarathne and Nalin after the settlement of his own debt. Nirmal will settle after the completion of his loan (14 months)</t>
  </si>
  <si>
    <t>Nirmal Agreed to supply on behalf of Premarathne and Nalin after the settlement of his own debt</t>
  </si>
  <si>
    <t>M.K.L.R.CHAMARA</t>
  </si>
  <si>
    <t>will be recovered through the Line Agent.</t>
  </si>
  <si>
    <t xml:space="preserve">will be recovered from Line Agent. </t>
  </si>
  <si>
    <t>TUH</t>
  </si>
  <si>
    <t>H.A.N.NALEN</t>
  </si>
  <si>
    <t>DL3</t>
  </si>
  <si>
    <t>D.L.UMAYANGA</t>
  </si>
  <si>
    <t>Police Agreed to assist on recovering once the risk of covid 19 is minimized</t>
  </si>
  <si>
    <t>Rs.500/- Recovered from Line Agent</t>
  </si>
  <si>
    <t>R.A.NIMALI RUPASINGHE</t>
  </si>
  <si>
    <t xml:space="preserve">Continusly Leaf Suppling - Small Q:ty. </t>
  </si>
  <si>
    <t>Continusly Leaf Suppling - Small Q:ty</t>
  </si>
  <si>
    <t>M.CHINTHAKA</t>
  </si>
  <si>
    <t>ER3</t>
  </si>
  <si>
    <t>H.V.S.HAPUARACHCHI</t>
  </si>
  <si>
    <t>Collector line stopped</t>
  </si>
  <si>
    <t>Already Recovered from Line Agent</t>
  </si>
  <si>
    <t>SID</t>
  </si>
  <si>
    <t>P.K.D.AMARADASA</t>
  </si>
  <si>
    <r>
      <rPr>
        <sz val="11"/>
        <rFont val="Calibri"/>
        <charset val="134"/>
        <scheme val="minor"/>
      </rPr>
      <t xml:space="preserve">will be recovered from Line Agent. </t>
    </r>
    <r>
      <rPr>
        <sz val="11"/>
        <color rgb="FFFF0000"/>
        <rFont val="Calibri"/>
        <charset val="134"/>
        <scheme val="minor"/>
      </rPr>
      <t>Timeline</t>
    </r>
  </si>
  <si>
    <t>R.SIRIPALA</t>
  </si>
  <si>
    <t>will be recovered from Line Agent</t>
  </si>
  <si>
    <t>G.W.CHANDIMA</t>
  </si>
  <si>
    <t>AY2</t>
  </si>
  <si>
    <t>P.L.D.GAYAN HARSHA SENEVIRATHNA</t>
  </si>
  <si>
    <t>SER</t>
  </si>
  <si>
    <t>H.D.A.ANTHANI</t>
  </si>
  <si>
    <t xml:space="preserve">line Stopped  </t>
  </si>
  <si>
    <t>M.K.SADAMALI</t>
  </si>
  <si>
    <t>H.M.T.K.HULANGAMUWA</t>
  </si>
  <si>
    <t>Line stopped</t>
  </si>
  <si>
    <t>N.W.KARUNARATHNA</t>
  </si>
  <si>
    <t>R.M.MALITH LAKSHITHA</t>
  </si>
  <si>
    <t>Rs.396.66 Recovered from Line Agent</t>
  </si>
  <si>
    <t>M.E.D.HASHANI</t>
  </si>
  <si>
    <t>Line Stopped - Police Agreed to assist on recovering once the risk of covid 19 is minimized</t>
  </si>
  <si>
    <t>SAMAN INDIKA MANAWAGE</t>
  </si>
  <si>
    <t>PA2</t>
  </si>
  <si>
    <t>M.G.P.CHATHURANGA</t>
  </si>
  <si>
    <t>U.K.L.PODIHAMENE</t>
  </si>
  <si>
    <t>PAN</t>
  </si>
  <si>
    <t>P.M.P.KUMARA</t>
  </si>
  <si>
    <t>P.K.C.MANEL</t>
  </si>
  <si>
    <t>Not Available in Address</t>
  </si>
  <si>
    <t>R.RAMANAN</t>
  </si>
  <si>
    <t>KEH</t>
  </si>
  <si>
    <t>A.A.ABESENA</t>
  </si>
  <si>
    <r>
      <rPr>
        <sz val="11"/>
        <rFont val="Calibri"/>
        <charset val="134"/>
        <scheme val="minor"/>
      </rPr>
      <t xml:space="preserve">will be recovered from Line Agent. </t>
    </r>
    <r>
      <rPr>
        <sz val="11"/>
        <color rgb="FFFF0000"/>
        <rFont val="Calibri"/>
        <charset val="134"/>
        <scheme val="minor"/>
      </rPr>
      <t>Debt acknowledgement obtained. Recovery plan is required.</t>
    </r>
  </si>
  <si>
    <t>D.M.P.P.KUMARA</t>
  </si>
  <si>
    <t>H.G.SOMAWATHI</t>
  </si>
  <si>
    <t>A.ASANKA</t>
  </si>
  <si>
    <t>D.M.SHANTHA</t>
  </si>
  <si>
    <t>W.M.S.WEERASINGHE</t>
  </si>
  <si>
    <r>
      <rPr>
        <sz val="11"/>
        <rFont val="Calibri"/>
        <charset val="134"/>
        <scheme val="minor"/>
      </rPr>
      <t xml:space="preserve">Continusly Leaf Suppling - Small Q:ty. </t>
    </r>
    <r>
      <rPr>
        <sz val="11"/>
        <color rgb="FFFF0000"/>
        <rFont val="Calibri"/>
        <charset val="134"/>
        <scheme val="minor"/>
      </rPr>
      <t>Debt acknowledgement obtained. Recovery plan is required with a clear timeline.</t>
    </r>
  </si>
  <si>
    <t>PAT</t>
  </si>
  <si>
    <t>L.J.S.LIYANAGE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</si>
</sst>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_-* #,##0.00_-;\-* #,##0.00_-;_-* &quot;-&quot;??_-;_-@_-"/>
    <numFmt numFmtId="178" formatCode="_(* #,##0_);_(* \(#,##0\);_(* &quot;-&quot;??_);_(@_)"/>
    <numFmt numFmtId="179" formatCode="_(* #,##0_);_(* \(#,##0\);_(* &quot;-&quot;??_);[Green]_(@_)\,"/>
    <numFmt numFmtId="180" formatCode="_-* #,##0_-;\-* #,##0_-;_-* &quot;-&quot;??_-;_-@_-"/>
    <numFmt numFmtId="181" formatCode="#,##0.00;\-#,##0.00;\-"/>
    <numFmt numFmtId="182" formatCode="#,##0;\-#,##0;\-"/>
  </numFmts>
  <fonts count="47">
    <font>
      <sz val="11"/>
      <color theme="1"/>
      <name val="Calibri"/>
      <charset val="134"/>
      <scheme val="minor"/>
    </font>
    <font>
      <sz val="11"/>
      <name val="Calibri"/>
      <charset val="134"/>
      <scheme val="minor"/>
    </font>
    <font>
      <b/>
      <sz val="14"/>
      <name val="Calibri"/>
      <charset val="134"/>
      <scheme val="minor"/>
    </font>
    <font>
      <b/>
      <sz val="11"/>
      <color theme="1"/>
      <name val="Calibri"/>
      <charset val="134"/>
      <scheme val="minor"/>
    </font>
    <font>
      <b/>
      <sz val="12"/>
      <name val="Calibri"/>
      <charset val="134"/>
      <scheme val="minor"/>
    </font>
    <font>
      <b/>
      <sz val="10"/>
      <color theme="1"/>
      <name val="Calibri"/>
      <charset val="134"/>
      <scheme val="minor"/>
    </font>
    <font>
      <i/>
      <sz val="11"/>
      <color theme="1"/>
      <name val="Calibri"/>
      <charset val="134"/>
      <scheme val="minor"/>
    </font>
    <font>
      <b/>
      <sz val="11"/>
      <name val="Calibri"/>
      <charset val="134"/>
      <scheme val="minor"/>
    </font>
    <font>
      <b/>
      <sz val="11"/>
      <color theme="0"/>
      <name val="Calibri"/>
      <charset val="134"/>
      <scheme val="minor"/>
    </font>
    <font>
      <sz val="10"/>
      <color theme="1"/>
      <name val="Arial"/>
      <charset val="134"/>
    </font>
    <font>
      <sz val="10"/>
      <color indexed="8"/>
      <name val="Arial"/>
      <charset val="134"/>
    </font>
    <font>
      <sz val="11"/>
      <color rgb="FFFF0000"/>
      <name val="Calibri"/>
      <charset val="134"/>
      <scheme val="minor"/>
    </font>
    <font>
      <sz val="11"/>
      <color indexed="8"/>
      <name val="Calibri"/>
      <charset val="134"/>
      <scheme val="minor"/>
    </font>
    <font>
      <sz val="11"/>
      <color theme="0"/>
      <name val="Calibri"/>
      <charset val="134"/>
      <scheme val="minor"/>
    </font>
    <font>
      <sz val="11"/>
      <color rgb="FF00B050"/>
      <name val="Calibri"/>
      <charset val="134"/>
      <scheme val="minor"/>
    </font>
    <font>
      <b/>
      <sz val="11"/>
      <name val="Cambria"/>
      <charset val="134"/>
      <scheme val="major"/>
    </font>
    <font>
      <sz val="10"/>
      <name val="Arial"/>
      <charset val="134"/>
    </font>
    <font>
      <b/>
      <sz val="11"/>
      <color rgb="FFFF0000"/>
      <name val="Calibri"/>
      <charset val="134"/>
      <scheme val="minor"/>
    </font>
    <font>
      <sz val="10"/>
      <color rgb="FF000000"/>
      <name val="ARIAL"/>
      <charset val="1"/>
    </font>
    <font>
      <sz val="10"/>
      <color rgb="FF000000"/>
      <name val="ARIAL"/>
      <charset val="134"/>
    </font>
    <font>
      <sz val="10"/>
      <color rgb="FF000000"/>
      <name val="ARIAL"/>
      <charset val="0"/>
    </font>
    <font>
      <sz val="10"/>
      <color indexed="8"/>
      <name val="ARIAL"/>
      <charset val="1"/>
    </font>
    <font>
      <sz val="11"/>
      <name val="Cambria"/>
      <charset val="134"/>
      <scheme val="major"/>
    </font>
    <font>
      <sz val="24"/>
      <color rgb="FFFF0000"/>
      <name val="Calibri"/>
      <charset val="134"/>
      <scheme val="minor"/>
    </font>
    <font>
      <b/>
      <u val="singleAccounting"/>
      <sz val="11"/>
      <color theme="1"/>
      <name val="Calibri"/>
      <charset val="134"/>
      <scheme val="minor"/>
    </font>
    <font>
      <sz val="11"/>
      <color theme="9" tint="-0.249977111117893"/>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9C5700"/>
      <name val="Calibri"/>
      <charset val="134"/>
      <scheme val="minor"/>
    </font>
    <font>
      <b/>
      <sz val="18"/>
      <color theme="3"/>
      <name val="Cambria"/>
      <charset val="134"/>
      <scheme val="major"/>
    </font>
  </fonts>
  <fills count="51">
    <fill>
      <patternFill patternType="none"/>
    </fill>
    <fill>
      <patternFill patternType="gray125"/>
    </fill>
    <fill>
      <patternFill patternType="solid">
        <fgColor theme="0"/>
        <bgColor indexed="64"/>
      </patternFill>
    </fill>
    <fill>
      <patternFill patternType="solid">
        <fgColor theme="0" tint="-0.149449140903958"/>
        <bgColor indexed="64"/>
      </patternFill>
    </fill>
    <fill>
      <patternFill patternType="solid">
        <fgColor indexed="65"/>
        <bgColor indexed="64"/>
      </patternFill>
    </fill>
    <fill>
      <patternFill patternType="solid">
        <fgColor rgb="FFC00000"/>
        <bgColor indexed="64"/>
      </patternFill>
    </fill>
    <fill>
      <patternFill patternType="solid">
        <fgColor theme="9" tint="0.399426252021851"/>
        <bgColor indexed="64"/>
      </patternFill>
    </fill>
    <fill>
      <patternFill patternType="solid">
        <fgColor theme="5" tint="0.799432355723746"/>
        <bgColor indexed="64"/>
      </patternFill>
    </fill>
    <fill>
      <patternFill patternType="solid">
        <fgColor rgb="FFFFFF00"/>
        <bgColor indexed="64"/>
      </patternFill>
    </fill>
    <fill>
      <patternFill patternType="solid">
        <fgColor rgb="FF92D050"/>
        <bgColor indexed="64"/>
      </patternFill>
    </fill>
    <fill>
      <patternFill patternType="solid">
        <fgColor theme="6" tint="0.599993896298105"/>
        <bgColor indexed="64"/>
      </patternFill>
    </fill>
    <fill>
      <patternFill patternType="solid">
        <fgColor rgb="FFFFC000"/>
        <bgColor indexed="64"/>
      </patternFill>
    </fill>
    <fill>
      <patternFill patternType="solid">
        <fgColor rgb="FFFF0000"/>
        <bgColor indexed="64"/>
      </patternFill>
    </fill>
    <fill>
      <patternFill patternType="solid">
        <fgColor theme="3" tint="0.399426252021851"/>
        <bgColor indexed="64"/>
      </patternFill>
    </fill>
    <fill>
      <patternFill patternType="solid">
        <fgColor theme="4" tint="-0.249977111117893"/>
        <bgColor indexed="64"/>
      </patternFill>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399426252021851"/>
        <bgColor indexed="64"/>
      </patternFill>
    </fill>
    <fill>
      <patternFill patternType="solid">
        <fgColor theme="5" tint="0.399426252021851"/>
        <bgColor indexed="64"/>
      </patternFill>
    </fill>
    <fill>
      <patternFill patternType="solid">
        <fgColor theme="6" tint="0.399426252021851"/>
        <bgColor indexed="64"/>
      </patternFill>
    </fill>
    <fill>
      <patternFill patternType="solid">
        <fgColor theme="7" tint="0.399426252021851"/>
        <bgColor indexed="64"/>
      </patternFill>
    </fill>
    <fill>
      <patternFill patternType="solid">
        <fgColor theme="8" tint="0.399426252021851"/>
        <bgColor indexed="64"/>
      </patternFill>
    </fill>
  </fills>
  <borders count="59">
    <border>
      <left/>
      <right/>
      <top/>
      <bottom/>
      <diagonal/>
    </border>
    <border>
      <left style="medium">
        <color auto="1"/>
      </left>
      <right/>
      <top style="medium">
        <color auto="1"/>
      </top>
      <bottom/>
      <diagonal/>
    </border>
    <border>
      <left style="medium">
        <color auto="1"/>
      </left>
      <right style="medium">
        <color auto="1"/>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style="medium">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medium">
        <color auto="1"/>
      </left>
      <right/>
      <top/>
      <bottom style="medium">
        <color auto="1"/>
      </bottom>
      <diagonal/>
    </border>
    <border>
      <left style="medium">
        <color auto="1"/>
      </left>
      <right style="medium">
        <color auto="1"/>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bottom style="double">
        <color auto="1"/>
      </bottom>
      <diagonal/>
    </border>
    <border>
      <left style="thin">
        <color auto="1"/>
      </left>
      <right/>
      <top/>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medium">
        <color auto="1"/>
      </left>
      <right/>
      <top/>
      <bottom/>
      <diagonal/>
    </border>
    <border>
      <left style="thin">
        <color auto="1"/>
      </left>
      <right/>
      <top/>
      <bottom style="thin">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medium">
        <color auto="1"/>
      </bottom>
      <diagonal/>
    </border>
    <border>
      <left style="medium">
        <color auto="1"/>
      </left>
      <right style="medium">
        <color auto="1"/>
      </right>
      <top/>
      <bottom/>
      <diagonal/>
    </border>
    <border>
      <left style="thin">
        <color auto="1"/>
      </left>
      <right style="medium">
        <color auto="1"/>
      </right>
      <top style="thin">
        <color auto="1"/>
      </top>
      <bottom/>
      <diagonal/>
    </border>
    <border>
      <left style="medium">
        <color rgb="FF000000"/>
      </left>
      <right/>
      <top style="medium">
        <color rgb="FF000000"/>
      </top>
      <bottom/>
      <diagonal/>
    </border>
    <border>
      <left style="thin">
        <color auto="1"/>
      </left>
      <right style="thin">
        <color auto="1"/>
      </right>
      <top style="medium">
        <color rgb="FF000000"/>
      </top>
      <bottom/>
      <diagonal/>
    </border>
    <border>
      <left style="thin">
        <color auto="1"/>
      </left>
      <right style="medium">
        <color rgb="FF000000"/>
      </right>
      <top style="medium">
        <color rgb="FF000000"/>
      </top>
      <bottom/>
      <diagonal/>
    </border>
    <border>
      <left style="medium">
        <color rgb="FF000000"/>
      </left>
      <right/>
      <top/>
      <bottom style="medium">
        <color rgb="FF000000"/>
      </bottom>
      <diagonal/>
    </border>
    <border>
      <left style="thin">
        <color auto="1"/>
      </left>
      <right style="thin">
        <color auto="1"/>
      </right>
      <top/>
      <bottom style="medium">
        <color rgb="FF000000"/>
      </bottom>
      <diagonal/>
    </border>
    <border>
      <left style="thin">
        <color auto="1"/>
      </left>
      <right style="medium">
        <color rgb="FF000000"/>
      </right>
      <top/>
      <bottom style="medium">
        <color rgb="FF000000"/>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style="thin">
        <color rgb="FF000000"/>
      </right>
      <top style="thin">
        <color rgb="FF000000"/>
      </top>
      <bottom style="thin">
        <color rgb="FF000000"/>
      </bottom>
      <diagonal/>
    </border>
    <border>
      <left/>
      <right/>
      <top style="thin">
        <color auto="1"/>
      </top>
      <bottom/>
      <diagonal/>
    </border>
    <border>
      <left/>
      <right/>
      <top style="double">
        <color auto="1"/>
      </top>
      <bottom/>
      <diagonal/>
    </border>
    <border>
      <left style="medium">
        <color auto="1"/>
      </left>
      <right/>
      <top style="medium">
        <color auto="1"/>
      </top>
      <bottom style="thin">
        <color auto="1"/>
      </bottom>
      <diagonal/>
    </border>
    <border>
      <left style="thin">
        <color auto="1"/>
      </left>
      <right style="thin">
        <color auto="1"/>
      </right>
      <top style="thin">
        <color auto="1"/>
      </top>
      <bottom style="double">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9">
    <xf numFmtId="0" fontId="0" fillId="0" borderId="0"/>
    <xf numFmtId="43" fontId="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16" borderId="51"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52" applyNumberFormat="0" applyFill="0" applyAlignment="0" applyProtection="0">
      <alignment vertical="center"/>
    </xf>
    <xf numFmtId="0" fontId="32" fillId="0" borderId="52" applyNumberFormat="0" applyFill="0" applyAlignment="0" applyProtection="0">
      <alignment vertical="center"/>
    </xf>
    <xf numFmtId="0" fontId="33" fillId="0" borderId="53" applyNumberFormat="0" applyFill="0" applyAlignment="0" applyProtection="0">
      <alignment vertical="center"/>
    </xf>
    <xf numFmtId="0" fontId="33" fillId="0" borderId="0" applyNumberFormat="0" applyFill="0" applyBorder="0" applyAlignment="0" applyProtection="0">
      <alignment vertical="center"/>
    </xf>
    <xf numFmtId="0" fontId="34" fillId="17" borderId="54" applyNumberFormat="0" applyAlignment="0" applyProtection="0">
      <alignment vertical="center"/>
    </xf>
    <xf numFmtId="0" fontId="35" fillId="18" borderId="55" applyNumberFormat="0" applyAlignment="0" applyProtection="0">
      <alignment vertical="center"/>
    </xf>
    <xf numFmtId="0" fontId="36" fillId="18" borderId="54" applyNumberFormat="0" applyAlignment="0" applyProtection="0">
      <alignment vertical="center"/>
    </xf>
    <xf numFmtId="0" fontId="37" fillId="19" borderId="56" applyNumberFormat="0" applyAlignment="0" applyProtection="0">
      <alignment vertical="center"/>
    </xf>
    <xf numFmtId="0" fontId="38" fillId="0" borderId="57" applyNumberFormat="0" applyFill="0" applyAlignment="0" applyProtection="0">
      <alignment vertical="center"/>
    </xf>
    <xf numFmtId="0" fontId="39" fillId="0" borderId="58" applyNumberFormat="0" applyFill="0" applyAlignment="0" applyProtection="0">
      <alignment vertical="center"/>
    </xf>
    <xf numFmtId="0" fontId="40" fillId="20" borderId="0" applyNumberFormat="0" applyBorder="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3"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3"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3" fillId="30" borderId="0" applyNumberFormat="0" applyBorder="0" applyAlignment="0" applyProtection="0">
      <alignment vertical="center"/>
    </xf>
    <xf numFmtId="0" fontId="43" fillId="31" borderId="0" applyNumberFormat="0" applyBorder="0" applyAlignment="0" applyProtection="0">
      <alignment vertical="center"/>
    </xf>
    <xf numFmtId="0" fontId="44" fillId="32" borderId="0" applyNumberFormat="0" applyBorder="0" applyAlignment="0" applyProtection="0">
      <alignment vertical="center"/>
    </xf>
    <xf numFmtId="0" fontId="44" fillId="10"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4" fillId="35" borderId="0" applyNumberFormat="0" applyBorder="0" applyAlignment="0" applyProtection="0">
      <alignment vertical="center"/>
    </xf>
    <xf numFmtId="0" fontId="44" fillId="36" borderId="0" applyNumberFormat="0" applyBorder="0" applyAlignment="0" applyProtection="0">
      <alignment vertical="center"/>
    </xf>
    <xf numFmtId="0" fontId="43" fillId="37" borderId="0" applyNumberFormat="0" applyBorder="0" applyAlignment="0" applyProtection="0">
      <alignment vertical="center"/>
    </xf>
    <xf numFmtId="0" fontId="43" fillId="38" borderId="0" applyNumberFormat="0" applyBorder="0" applyAlignment="0" applyProtection="0">
      <alignment vertical="center"/>
    </xf>
    <xf numFmtId="0" fontId="44" fillId="39" borderId="0" applyNumberFormat="0" applyBorder="0" applyAlignment="0" applyProtection="0">
      <alignment vertical="center"/>
    </xf>
    <xf numFmtId="0" fontId="44" fillId="40" borderId="0" applyNumberFormat="0" applyBorder="0" applyAlignment="0" applyProtection="0">
      <alignment vertical="center"/>
    </xf>
    <xf numFmtId="0" fontId="43" fillId="41" borderId="0" applyNumberFormat="0" applyBorder="0" applyAlignment="0" applyProtection="0">
      <alignment vertical="center"/>
    </xf>
    <xf numFmtId="0" fontId="43" fillId="42" borderId="0" applyNumberFormat="0" applyBorder="0" applyAlignment="0" applyProtection="0">
      <alignment vertical="center"/>
    </xf>
    <xf numFmtId="0" fontId="44" fillId="43" borderId="0" applyNumberFormat="0" applyBorder="0" applyAlignment="0" applyProtection="0">
      <alignment vertical="center"/>
    </xf>
    <xf numFmtId="0" fontId="44" fillId="44" borderId="0" applyNumberFormat="0" applyBorder="0" applyAlignment="0" applyProtection="0">
      <alignment vertical="center"/>
    </xf>
    <xf numFmtId="0" fontId="43" fillId="45" borderId="0" applyNumberFormat="0" applyBorder="0" applyAlignment="0" applyProtection="0">
      <alignment vertical="center"/>
    </xf>
    <xf numFmtId="0" fontId="0" fillId="46" borderId="0" applyNumberFormat="0" applyBorder="0" applyAlignment="0" applyProtection="0"/>
    <xf numFmtId="0" fontId="0" fillId="47" borderId="0" applyNumberFormat="0" applyBorder="0" applyAlignment="0" applyProtection="0"/>
    <xf numFmtId="0" fontId="0" fillId="48" borderId="0" applyNumberFormat="0" applyBorder="0" applyAlignment="0" applyProtection="0"/>
    <xf numFmtId="0" fontId="0" fillId="49" borderId="0" applyNumberFormat="0" applyBorder="0" applyAlignment="0" applyProtection="0"/>
    <xf numFmtId="0" fontId="0" fillId="50" borderId="0" applyNumberFormat="0" applyBorder="0" applyAlignment="0" applyProtection="0"/>
    <xf numFmtId="0" fontId="0" fillId="6" borderId="0" applyNumberFormat="0" applyBorder="0" applyAlignment="0" applyProtection="0"/>
    <xf numFmtId="177" fontId="10" fillId="0" borderId="0" applyFont="0" applyFill="0" applyBorder="0" applyAlignment="0" applyProtection="0">
      <alignment vertical="top"/>
    </xf>
    <xf numFmtId="43" fontId="10" fillId="0" borderId="0" applyFont="0" applyFill="0" applyBorder="0" applyAlignment="0" applyProtection="0">
      <alignment vertical="top"/>
    </xf>
    <xf numFmtId="43" fontId="16" fillId="0" borderId="0" applyFont="0" applyFill="0" applyBorder="0" applyAlignment="0" applyProtection="0"/>
    <xf numFmtId="177" fontId="0" fillId="0" borderId="0" applyFont="0" applyFill="0" applyBorder="0" applyAlignment="0" applyProtection="0"/>
    <xf numFmtId="177" fontId="16" fillId="0" borderId="0" applyFont="0" applyFill="0" applyBorder="0" applyAlignment="0" applyProtection="0"/>
    <xf numFmtId="177" fontId="16" fillId="0" borderId="0" applyFont="0" applyFill="0" applyBorder="0" applyAlignment="0" applyProtection="0"/>
    <xf numFmtId="177" fontId="16" fillId="0" borderId="0" applyFont="0" applyFill="0" applyBorder="0" applyAlignment="0" applyProtection="0"/>
    <xf numFmtId="0" fontId="45" fillId="22" borderId="0" applyNumberFormat="0" applyBorder="0" applyAlignment="0" applyProtection="0"/>
    <xf numFmtId="0" fontId="21" fillId="0" borderId="0">
      <alignment vertical="top"/>
    </xf>
    <xf numFmtId="0" fontId="16" fillId="0" borderId="0"/>
    <xf numFmtId="0" fontId="16" fillId="0" borderId="0"/>
    <xf numFmtId="0" fontId="10" fillId="0" borderId="0">
      <alignment vertical="top"/>
    </xf>
    <xf numFmtId="0" fontId="10" fillId="0" borderId="0">
      <alignment vertical="top"/>
    </xf>
    <xf numFmtId="0" fontId="46" fillId="0" borderId="0" applyNumberFormat="0" applyFill="0" applyBorder="0" applyAlignment="0" applyProtection="0"/>
  </cellStyleXfs>
  <cellXfs count="577">
    <xf numFmtId="0" fontId="0" fillId="0" borderId="0" xfId="0"/>
    <xf numFmtId="0" fontId="1" fillId="0" borderId="0" xfId="64" applyFont="1"/>
    <xf numFmtId="0" fontId="1" fillId="2" borderId="0" xfId="64" applyFont="1" applyFill="1"/>
    <xf numFmtId="177" fontId="0" fillId="2" borderId="0" xfId="59" applyFont="1" applyFill="1"/>
    <xf numFmtId="0" fontId="1" fillId="2" borderId="0" xfId="64" applyFont="1" applyFill="1" applyAlignment="1">
      <alignment wrapText="1"/>
    </xf>
    <xf numFmtId="0" fontId="2" fillId="2" borderId="0" xfId="64" applyFont="1" applyFill="1"/>
    <xf numFmtId="0" fontId="3" fillId="3" borderId="1" xfId="0" applyFont="1" applyFill="1" applyBorder="1" applyAlignment="1">
      <alignment horizontal="center" vertical="center"/>
    </xf>
    <xf numFmtId="0" fontId="3" fillId="3" borderId="2" xfId="0" applyFont="1" applyFill="1" applyBorder="1" applyAlignment="1">
      <alignment vertical="center"/>
    </xf>
    <xf numFmtId="178" fontId="3" fillId="3" borderId="3" xfId="1" applyNumberFormat="1" applyFont="1" applyFill="1" applyBorder="1" applyAlignment="1">
      <alignment horizontal="center" vertical="center"/>
    </xf>
    <xf numFmtId="178" fontId="3" fillId="3" borderId="4" xfId="1" applyNumberFormat="1" applyFont="1" applyFill="1" applyBorder="1" applyAlignment="1">
      <alignment horizontal="center" vertical="center"/>
    </xf>
    <xf numFmtId="177" fontId="1" fillId="2" borderId="0" xfId="59" applyFont="1" applyFill="1" applyAlignment="1"/>
    <xf numFmtId="0" fontId="4" fillId="2" borderId="0" xfId="64" applyFont="1" applyFill="1"/>
    <xf numFmtId="0" fontId="3" fillId="3" borderId="5" xfId="0" applyFont="1" applyFill="1" applyBorder="1" applyAlignment="1">
      <alignment horizontal="center" vertical="center"/>
    </xf>
    <xf numFmtId="178" fontId="5" fillId="3" borderId="6" xfId="1" applyNumberFormat="1" applyFont="1" applyFill="1" applyBorder="1" applyAlignment="1">
      <alignment horizontal="center" vertical="center"/>
    </xf>
    <xf numFmtId="178" fontId="5" fillId="3" borderId="7" xfId="1" applyNumberFormat="1" applyFont="1" applyFill="1" applyBorder="1" applyAlignment="1">
      <alignment horizontal="center" vertical="center"/>
    </xf>
    <xf numFmtId="178" fontId="5" fillId="3" borderId="8" xfId="1" applyNumberFormat="1" applyFont="1" applyFill="1" applyBorder="1" applyAlignment="1">
      <alignment horizontal="center" vertical="center"/>
    </xf>
    <xf numFmtId="178" fontId="5" fillId="3" borderId="9" xfId="1" applyNumberFormat="1" applyFont="1" applyFill="1" applyBorder="1" applyAlignment="1">
      <alignment horizontal="center" vertical="center"/>
    </xf>
    <xf numFmtId="49" fontId="0" fillId="4" borderId="10" xfId="0" applyNumberFormat="1" applyFill="1" applyBorder="1" applyAlignment="1">
      <alignment vertical="center"/>
    </xf>
    <xf numFmtId="178" fontId="1" fillId="2" borderId="10" xfId="1" applyNumberFormat="1" applyFont="1" applyFill="1" applyBorder="1" applyAlignment="1">
      <alignment vertical="center"/>
    </xf>
    <xf numFmtId="178" fontId="1" fillId="2" borderId="11" xfId="1" applyNumberFormat="1" applyFont="1" applyFill="1" applyBorder="1" applyAlignment="1">
      <alignment vertical="center"/>
    </xf>
    <xf numFmtId="178" fontId="1" fillId="2" borderId="8" xfId="1" applyNumberFormat="1" applyFont="1" applyFill="1" applyBorder="1" applyAlignment="1">
      <alignment vertical="center"/>
    </xf>
    <xf numFmtId="178" fontId="1" fillId="2" borderId="9" xfId="1" applyNumberFormat="1" applyFont="1" applyFill="1" applyBorder="1" applyAlignment="1">
      <alignment vertical="center"/>
    </xf>
    <xf numFmtId="49" fontId="6" fillId="4" borderId="12" xfId="0" applyNumberFormat="1" applyFont="1" applyFill="1" applyBorder="1" applyAlignment="1">
      <alignment vertical="center"/>
    </xf>
    <xf numFmtId="179" fontId="7" fillId="2" borderId="13" xfId="1" applyNumberFormat="1" applyFont="1" applyFill="1" applyBorder="1" applyAlignment="1">
      <alignment vertical="center"/>
    </xf>
    <xf numFmtId="178" fontId="7" fillId="2" borderId="14" xfId="1" applyNumberFormat="1" applyFont="1" applyFill="1" applyBorder="1" applyAlignment="1">
      <alignment vertical="center"/>
    </xf>
    <xf numFmtId="178" fontId="7" fillId="2" borderId="15" xfId="1" applyNumberFormat="1" applyFont="1" applyFill="1" applyBorder="1" applyAlignment="1">
      <alignment vertical="center"/>
    </xf>
    <xf numFmtId="178" fontId="7" fillId="2" borderId="16" xfId="1" applyNumberFormat="1" applyFont="1" applyFill="1" applyBorder="1" applyAlignment="1">
      <alignment vertical="center"/>
    </xf>
    <xf numFmtId="0" fontId="7" fillId="2" borderId="0" xfId="64" applyFont="1" applyFill="1"/>
    <xf numFmtId="177" fontId="7" fillId="2" borderId="0" xfId="59" applyFont="1" applyFill="1" applyBorder="1" applyAlignment="1"/>
    <xf numFmtId="0" fontId="0" fillId="2" borderId="0" xfId="0" applyFill="1"/>
    <xf numFmtId="177" fontId="7" fillId="2" borderId="0" xfId="61" applyFont="1" applyFill="1" applyBorder="1" applyAlignment="1"/>
    <xf numFmtId="178" fontId="8" fillId="5" borderId="1" xfId="1" applyNumberFormat="1" applyFont="1" applyFill="1" applyBorder="1" applyAlignment="1">
      <alignment horizontal="center" vertical="center" wrapText="1"/>
    </xf>
    <xf numFmtId="178" fontId="8" fillId="5" borderId="17" xfId="1" applyNumberFormat="1" applyFont="1" applyFill="1" applyBorder="1" applyAlignment="1">
      <alignment horizontal="center" vertical="center" wrapText="1"/>
    </xf>
    <xf numFmtId="178" fontId="8" fillId="5" borderId="18" xfId="1" applyNumberFormat="1" applyFont="1" applyFill="1" applyBorder="1" applyAlignment="1">
      <alignment horizontal="center" vertical="center" wrapText="1"/>
    </xf>
    <xf numFmtId="0" fontId="7" fillId="2" borderId="0" xfId="65" applyFont="1" applyFill="1"/>
    <xf numFmtId="0" fontId="1" fillId="2" borderId="0" xfId="65" applyFont="1" applyFill="1" applyAlignment="1">
      <alignment wrapText="1"/>
    </xf>
    <xf numFmtId="0" fontId="8" fillId="5" borderId="8" xfId="64" applyFont="1" applyFill="1" applyBorder="1" applyAlignment="1">
      <alignment horizontal="center" vertical="center" wrapText="1"/>
    </xf>
    <xf numFmtId="178" fontId="8" fillId="5" borderId="8" xfId="1" applyNumberFormat="1" applyFont="1" applyFill="1" applyBorder="1" applyAlignment="1">
      <alignment horizontal="center" vertical="center" wrapText="1"/>
    </xf>
    <xf numFmtId="0" fontId="8" fillId="5" borderId="8" xfId="65" applyFont="1" applyFill="1" applyBorder="1" applyAlignment="1">
      <alignment horizontal="center" vertical="center" wrapText="1"/>
    </xf>
    <xf numFmtId="43" fontId="8" fillId="5" borderId="19" xfId="1" applyFont="1" applyFill="1" applyBorder="1" applyAlignment="1">
      <alignment horizontal="center" vertical="center" wrapText="1"/>
    </xf>
    <xf numFmtId="0" fontId="8" fillId="5" borderId="19" xfId="64" applyFont="1" applyFill="1" applyBorder="1" applyAlignment="1">
      <alignment horizontal="center" vertical="center" wrapText="1"/>
    </xf>
    <xf numFmtId="43" fontId="8" fillId="5" borderId="20" xfId="1" applyFont="1" applyFill="1" applyBorder="1" applyAlignment="1">
      <alignment horizontal="center" vertical="center" wrapText="1"/>
    </xf>
    <xf numFmtId="0" fontId="0" fillId="2" borderId="8" xfId="64" applyFont="1" applyFill="1" applyBorder="1" applyAlignment="1">
      <alignment horizontal="left"/>
    </xf>
    <xf numFmtId="0" fontId="9" fillId="2" borderId="8" xfId="0" applyFont="1" applyFill="1" applyBorder="1"/>
    <xf numFmtId="0" fontId="9" fillId="2" borderId="8" xfId="0" applyFont="1" applyFill="1" applyBorder="1" applyAlignment="1">
      <alignment vertical="top"/>
    </xf>
    <xf numFmtId="178" fontId="0" fillId="2" borderId="8" xfId="1" applyNumberFormat="1" applyFont="1" applyFill="1" applyBorder="1"/>
    <xf numFmtId="178" fontId="10" fillId="2" borderId="8" xfId="1" applyNumberFormat="1" applyFont="1" applyFill="1" applyBorder="1" applyAlignment="1">
      <alignment horizontal="center" vertical="top"/>
    </xf>
    <xf numFmtId="0" fontId="1" fillId="2" borderId="8" xfId="64" applyFont="1" applyFill="1" applyBorder="1" applyAlignment="1">
      <alignment wrapText="1"/>
    </xf>
    <xf numFmtId="0" fontId="1" fillId="6" borderId="8" xfId="64" applyFont="1" applyFill="1" applyBorder="1" applyAlignment="1">
      <alignment wrapText="1"/>
    </xf>
    <xf numFmtId="0" fontId="0" fillId="6" borderId="8" xfId="64" applyFont="1" applyFill="1" applyBorder="1" applyAlignment="1">
      <alignment horizontal="left"/>
    </xf>
    <xf numFmtId="0" fontId="9" fillId="6" borderId="8" xfId="0" applyFont="1" applyFill="1" applyBorder="1"/>
    <xf numFmtId="0" fontId="9" fillId="6" borderId="8" xfId="0" applyFont="1" applyFill="1" applyBorder="1" applyAlignment="1">
      <alignment vertical="top"/>
    </xf>
    <xf numFmtId="178" fontId="0" fillId="6" borderId="8" xfId="1" applyNumberFormat="1" applyFont="1" applyFill="1" applyBorder="1"/>
    <xf numFmtId="178" fontId="10" fillId="6" borderId="8" xfId="1" applyNumberFormat="1" applyFont="1" applyFill="1" applyBorder="1" applyAlignment="1">
      <alignment horizontal="center" vertical="top"/>
    </xf>
    <xf numFmtId="0" fontId="0" fillId="0" borderId="8" xfId="64" applyFont="1" applyBorder="1" applyAlignment="1">
      <alignment horizontal="left"/>
    </xf>
    <xf numFmtId="0" fontId="9" fillId="0" borderId="8" xfId="0" applyFont="1" applyBorder="1"/>
    <xf numFmtId="0" fontId="9" fillId="0" borderId="8" xfId="0" applyFont="1" applyBorder="1" applyAlignment="1">
      <alignment vertical="top"/>
    </xf>
    <xf numFmtId="178" fontId="0" fillId="0" borderId="8" xfId="1" applyNumberFormat="1" applyFont="1" applyFill="1" applyBorder="1"/>
    <xf numFmtId="178" fontId="10" fillId="0" borderId="8" xfId="1" applyNumberFormat="1" applyFont="1" applyFill="1" applyBorder="1" applyAlignment="1">
      <alignment horizontal="center" vertical="top"/>
    </xf>
    <xf numFmtId="0" fontId="1" fillId="0" borderId="8" xfId="64" applyFont="1" applyBorder="1" applyAlignment="1">
      <alignment wrapText="1"/>
    </xf>
    <xf numFmtId="177" fontId="0" fillId="2" borderId="0" xfId="59" applyFont="1" applyFill="1" applyAlignment="1">
      <alignment horizontal="center"/>
    </xf>
    <xf numFmtId="177" fontId="1" fillId="2" borderId="0" xfId="59" applyFont="1" applyFill="1" applyAlignment="1">
      <alignment horizontal="center"/>
    </xf>
    <xf numFmtId="178" fontId="3" fillId="3" borderId="6" xfId="1" applyNumberFormat="1" applyFont="1" applyFill="1" applyBorder="1" applyAlignment="1">
      <alignment horizontal="center" vertical="center"/>
    </xf>
    <xf numFmtId="178" fontId="3" fillId="3" borderId="7" xfId="1" applyNumberFormat="1" applyFont="1" applyFill="1" applyBorder="1" applyAlignment="1">
      <alignment horizontal="center" vertical="center"/>
    </xf>
    <xf numFmtId="178" fontId="3" fillId="3" borderId="8" xfId="1" applyNumberFormat="1" applyFont="1" applyFill="1" applyBorder="1" applyAlignment="1">
      <alignment horizontal="center" vertical="center"/>
    </xf>
    <xf numFmtId="178" fontId="3" fillId="3" borderId="9" xfId="1" applyNumberFormat="1" applyFont="1" applyFill="1" applyBorder="1" applyAlignment="1">
      <alignment horizontal="center" vertical="center"/>
    </xf>
    <xf numFmtId="178" fontId="1" fillId="2" borderId="21" xfId="1" applyNumberFormat="1" applyFont="1" applyFill="1" applyBorder="1" applyAlignment="1">
      <alignment vertical="center"/>
    </xf>
    <xf numFmtId="178" fontId="1" fillId="2" borderId="7" xfId="1" applyNumberFormat="1" applyFont="1" applyFill="1" applyBorder="1" applyAlignment="1">
      <alignment vertical="center"/>
    </xf>
    <xf numFmtId="0" fontId="11" fillId="2" borderId="0" xfId="64" applyFont="1" applyFill="1"/>
    <xf numFmtId="177" fontId="7" fillId="2" borderId="0" xfId="59" applyFont="1" applyFill="1" applyBorder="1" applyAlignment="1">
      <alignment horizontal="center"/>
    </xf>
    <xf numFmtId="0" fontId="1" fillId="2" borderId="0" xfId="65" applyFont="1" applyFill="1"/>
    <xf numFmtId="0" fontId="12" fillId="2" borderId="8" xfId="0" applyFont="1" applyFill="1" applyBorder="1" applyAlignment="1">
      <alignment horizontal="left" vertical="top"/>
    </xf>
    <xf numFmtId="43" fontId="1" fillId="2" borderId="8" xfId="1" applyFont="1" applyFill="1" applyBorder="1" applyAlignment="1">
      <alignment horizontal="left"/>
    </xf>
    <xf numFmtId="0" fontId="12" fillId="2" borderId="8" xfId="0" applyFont="1" applyFill="1" applyBorder="1" applyAlignment="1">
      <alignment vertical="top"/>
    </xf>
    <xf numFmtId="178" fontId="12" fillId="2" borderId="8" xfId="1" applyNumberFormat="1" applyFont="1" applyFill="1" applyBorder="1" applyAlignment="1">
      <alignment horizontal="center" vertical="top"/>
    </xf>
    <xf numFmtId="43" fontId="1" fillId="2" borderId="8" xfId="1" applyFont="1" applyFill="1" applyBorder="1" applyAlignment="1">
      <alignment wrapText="1"/>
    </xf>
    <xf numFmtId="178" fontId="0" fillId="2" borderId="8" xfId="1" applyNumberFormat="1" applyFont="1" applyFill="1" applyBorder="1" applyAlignment="1">
      <alignment horizontal="left" wrapText="1"/>
    </xf>
    <xf numFmtId="43" fontId="1" fillId="6" borderId="8" xfId="1" applyFont="1" applyFill="1" applyBorder="1" applyAlignment="1">
      <alignment wrapText="1"/>
    </xf>
    <xf numFmtId="0" fontId="12" fillId="2" borderId="0" xfId="0" applyFont="1" applyFill="1" applyAlignment="1">
      <alignment horizontal="left" vertical="top"/>
    </xf>
    <xf numFmtId="0" fontId="1" fillId="2" borderId="0" xfId="65" applyFont="1" applyFill="1" applyAlignment="1">
      <alignment horizontal="left"/>
    </xf>
    <xf numFmtId="0" fontId="12" fillId="2" borderId="0" xfId="0" applyFont="1" applyFill="1" applyAlignment="1">
      <alignment vertical="top"/>
    </xf>
    <xf numFmtId="178" fontId="0" fillId="2" borderId="22" xfId="1" applyNumberFormat="1" applyFont="1" applyFill="1" applyBorder="1"/>
    <xf numFmtId="178" fontId="12" fillId="2" borderId="22" xfId="1" applyNumberFormat="1" applyFont="1" applyFill="1" applyBorder="1" applyAlignment="1">
      <alignment horizontal="center" vertical="top"/>
    </xf>
    <xf numFmtId="43" fontId="1" fillId="6" borderId="0" xfId="1" applyFont="1" applyFill="1" applyBorder="1" applyAlignment="1">
      <alignment wrapText="1"/>
    </xf>
    <xf numFmtId="178" fontId="0" fillId="2" borderId="0" xfId="1" applyNumberFormat="1" applyFont="1" applyFill="1" applyBorder="1" applyAlignment="1">
      <alignment horizontal="left" wrapText="1"/>
    </xf>
    <xf numFmtId="0" fontId="1" fillId="0" borderId="8" xfId="64" applyFont="1" applyBorder="1"/>
    <xf numFmtId="43" fontId="1" fillId="2" borderId="0" xfId="1" applyFont="1" applyFill="1"/>
    <xf numFmtId="43" fontId="1" fillId="2" borderId="0" xfId="1" applyFont="1" applyFill="1" applyBorder="1"/>
    <xf numFmtId="0" fontId="12" fillId="7" borderId="8" xfId="0" applyFont="1" applyFill="1" applyBorder="1" applyAlignment="1">
      <alignment horizontal="left" vertical="top"/>
    </xf>
    <xf numFmtId="43" fontId="1" fillId="7" borderId="8" xfId="1" applyFont="1" applyFill="1" applyBorder="1" applyAlignment="1">
      <alignment horizontal="left"/>
    </xf>
    <xf numFmtId="0" fontId="12" fillId="7" borderId="8" xfId="0" applyFont="1" applyFill="1" applyBorder="1" applyAlignment="1">
      <alignment vertical="top"/>
    </xf>
    <xf numFmtId="178" fontId="0" fillId="7" borderId="8" xfId="1" applyNumberFormat="1" applyFont="1" applyFill="1" applyBorder="1"/>
    <xf numFmtId="178" fontId="12" fillId="7" borderId="8" xfId="1" applyNumberFormat="1" applyFont="1" applyFill="1" applyBorder="1" applyAlignment="1">
      <alignment horizontal="center" vertical="top"/>
    </xf>
    <xf numFmtId="43" fontId="1" fillId="7" borderId="8" xfId="1" applyFont="1" applyFill="1" applyBorder="1"/>
    <xf numFmtId="43" fontId="0" fillId="7" borderId="8" xfId="1" applyFont="1" applyFill="1" applyBorder="1" applyAlignment="1">
      <alignment horizontal="left"/>
    </xf>
    <xf numFmtId="0" fontId="13" fillId="2" borderId="0" xfId="0" applyFont="1" applyFill="1"/>
    <xf numFmtId="0" fontId="0" fillId="2" borderId="0" xfId="0" applyFill="1" applyAlignment="1">
      <alignment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horizontal="left"/>
    </xf>
    <xf numFmtId="43" fontId="0" fillId="0" borderId="0" xfId="1" applyFont="1"/>
    <xf numFmtId="0" fontId="2" fillId="0" borderId="0" xfId="64" applyFont="1"/>
    <xf numFmtId="43" fontId="0" fillId="0" borderId="0" xfId="1" applyFont="1" applyFill="1"/>
    <xf numFmtId="0" fontId="4" fillId="0" borderId="0" xfId="64" applyFont="1"/>
    <xf numFmtId="0" fontId="7" fillId="0" borderId="0" xfId="64" applyFont="1"/>
    <xf numFmtId="0" fontId="3" fillId="3" borderId="23" xfId="0" applyFont="1" applyFill="1" applyBorder="1" applyAlignment="1">
      <alignment horizontal="left"/>
    </xf>
    <xf numFmtId="0" fontId="3" fillId="3" borderId="0" xfId="0" applyFont="1" applyFill="1" applyAlignment="1">
      <alignment horizontal="left"/>
    </xf>
    <xf numFmtId="0" fontId="8" fillId="5" borderId="24" xfId="0" applyFont="1" applyFill="1" applyBorder="1" applyAlignment="1">
      <alignment horizontal="center"/>
    </xf>
    <xf numFmtId="0" fontId="8" fillId="5" borderId="25" xfId="0" applyFont="1" applyFill="1" applyBorder="1" applyAlignment="1">
      <alignment horizontal="center"/>
    </xf>
    <xf numFmtId="0" fontId="8" fillId="5" borderId="21" xfId="0" applyFont="1" applyFill="1" applyBorder="1" applyAlignment="1">
      <alignment horizontal="center"/>
    </xf>
    <xf numFmtId="0" fontId="8" fillId="5" borderId="26" xfId="0" applyFont="1" applyFill="1" applyBorder="1" applyAlignment="1">
      <alignment horizontal="center"/>
    </xf>
    <xf numFmtId="0" fontId="8" fillId="5" borderId="11" xfId="0" applyFont="1" applyFill="1" applyBorder="1" applyAlignment="1">
      <alignment horizontal="center"/>
    </xf>
    <xf numFmtId="0" fontId="8" fillId="5" borderId="8" xfId="0" applyFont="1" applyFill="1" applyBorder="1" applyAlignment="1">
      <alignment horizontal="center" vertical="center" wrapText="1"/>
    </xf>
    <xf numFmtId="58" fontId="8" fillId="5" borderId="19" xfId="0" applyNumberFormat="1" applyFont="1" applyFill="1" applyBorder="1" applyAlignment="1">
      <alignment horizontal="center" vertical="center" wrapText="1"/>
    </xf>
    <xf numFmtId="0" fontId="8" fillId="5" borderId="19" xfId="0" applyFont="1" applyFill="1" applyBorder="1" applyAlignment="1">
      <alignment horizontal="center" vertical="center" wrapText="1"/>
    </xf>
    <xf numFmtId="0" fontId="8" fillId="5" borderId="21" xfId="0" applyFont="1" applyFill="1" applyBorder="1" applyAlignment="1">
      <alignment horizontal="center" vertical="center" wrapText="1"/>
    </xf>
    <xf numFmtId="43" fontId="0" fillId="2" borderId="8" xfId="1" applyFont="1" applyFill="1" applyBorder="1" applyAlignment="1">
      <alignment vertical="center"/>
    </xf>
    <xf numFmtId="0" fontId="0" fillId="2" borderId="8" xfId="0" applyFill="1" applyBorder="1" applyAlignment="1">
      <alignment horizontal="center" vertical="center"/>
    </xf>
    <xf numFmtId="0" fontId="0" fillId="2" borderId="8" xfId="0" applyFill="1" applyBorder="1" applyAlignment="1">
      <alignment horizontal="left" vertical="center"/>
    </xf>
    <xf numFmtId="178" fontId="0" fillId="2" borderId="8" xfId="1" applyNumberFormat="1" applyFont="1" applyFill="1" applyBorder="1" applyAlignment="1">
      <alignment horizontal="left" vertical="center"/>
    </xf>
    <xf numFmtId="178" fontId="0" fillId="2" borderId="8" xfId="1" applyNumberFormat="1" applyFont="1" applyFill="1" applyBorder="1" applyAlignment="1">
      <alignment vertical="center"/>
    </xf>
    <xf numFmtId="178" fontId="11" fillId="2" borderId="8" xfId="1" applyNumberFormat="1" applyFont="1" applyFill="1" applyBorder="1" applyAlignment="1">
      <alignment vertical="center"/>
    </xf>
    <xf numFmtId="178" fontId="0" fillId="2" borderId="8" xfId="1" applyNumberFormat="1" applyFont="1" applyFill="1" applyBorder="1" applyAlignment="1">
      <alignment horizontal="center" vertical="center"/>
    </xf>
    <xf numFmtId="0" fontId="11" fillId="2" borderId="21" xfId="0" applyFont="1" applyFill="1" applyBorder="1" applyAlignment="1">
      <alignment horizontal="left" vertical="center" wrapText="1"/>
    </xf>
    <xf numFmtId="0" fontId="11" fillId="2" borderId="11" xfId="0" applyFont="1" applyFill="1" applyBorder="1" applyAlignment="1">
      <alignment horizontal="left" vertical="center" wrapText="1"/>
    </xf>
    <xf numFmtId="0" fontId="11" fillId="0" borderId="0" xfId="0" applyFont="1"/>
    <xf numFmtId="0" fontId="3" fillId="3" borderId="27" xfId="0" applyFont="1" applyFill="1" applyBorder="1" applyAlignment="1">
      <alignment horizontal="left"/>
    </xf>
    <xf numFmtId="58" fontId="7" fillId="5" borderId="8" xfId="1" applyNumberFormat="1" applyFont="1" applyFill="1" applyBorder="1" applyAlignment="1">
      <alignment horizontal="center" vertical="center" wrapText="1"/>
    </xf>
    <xf numFmtId="0" fontId="0" fillId="2" borderId="8" xfId="0" applyFill="1" applyBorder="1" applyAlignment="1">
      <alignment vertical="center"/>
    </xf>
    <xf numFmtId="43" fontId="11" fillId="2" borderId="8" xfId="1" applyFont="1" applyFill="1" applyBorder="1" applyAlignment="1">
      <alignment vertical="center"/>
    </xf>
    <xf numFmtId="1" fontId="1" fillId="2" borderId="8" xfId="1" applyNumberFormat="1" applyFont="1" applyFill="1" applyBorder="1" applyAlignment="1">
      <alignment horizontal="center" vertical="center" wrapText="1"/>
    </xf>
    <xf numFmtId="178" fontId="14" fillId="2" borderId="8" xfId="1" applyNumberFormat="1" applyFont="1" applyFill="1" applyBorder="1" applyAlignment="1">
      <alignment vertical="center"/>
    </xf>
    <xf numFmtId="0" fontId="14" fillId="2" borderId="21" xfId="0" applyFont="1" applyFill="1" applyBorder="1" applyAlignment="1">
      <alignment horizontal="left" vertical="center" wrapText="1"/>
    </xf>
    <xf numFmtId="0" fontId="14" fillId="2" borderId="11" xfId="0" applyFont="1" applyFill="1" applyBorder="1" applyAlignment="1">
      <alignment horizontal="left" vertical="center" wrapText="1"/>
    </xf>
    <xf numFmtId="1" fontId="1" fillId="2" borderId="8" xfId="1" applyNumberFormat="1" applyFont="1" applyFill="1" applyBorder="1" applyAlignment="1">
      <alignment horizontal="center" vertical="center"/>
    </xf>
    <xf numFmtId="43" fontId="1" fillId="2" borderId="8" xfId="1" applyFont="1" applyFill="1" applyBorder="1" applyAlignment="1">
      <alignment vertical="center"/>
    </xf>
    <xf numFmtId="0" fontId="0" fillId="2" borderId="8" xfId="0" applyFill="1" applyBorder="1" applyAlignment="1">
      <alignment vertical="center" wrapText="1"/>
    </xf>
    <xf numFmtId="0" fontId="0" fillId="2" borderId="8" xfId="0" applyFill="1" applyBorder="1" applyAlignment="1">
      <alignment horizontal="center" vertical="center" wrapText="1"/>
    </xf>
    <xf numFmtId="0" fontId="0" fillId="2" borderId="8" xfId="0" applyFill="1" applyBorder="1" applyAlignment="1">
      <alignment horizontal="left" vertical="center" wrapText="1"/>
    </xf>
    <xf numFmtId="178" fontId="0" fillId="2" borderId="8" xfId="1" applyNumberFormat="1" applyFont="1" applyFill="1" applyBorder="1"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178" fontId="0" fillId="0" borderId="0" xfId="1" applyNumberFormat="1" applyFont="1" applyBorder="1" applyAlignment="1">
      <alignment vertical="center"/>
    </xf>
    <xf numFmtId="178" fontId="0" fillId="0" borderId="0" xfId="1" applyNumberFormat="1" applyFont="1" applyBorder="1" applyAlignment="1">
      <alignment vertical="center" wrapText="1"/>
    </xf>
    <xf numFmtId="43" fontId="1" fillId="0" borderId="0" xfId="1" applyFont="1" applyBorder="1" applyAlignment="1">
      <alignment vertical="center"/>
    </xf>
    <xf numFmtId="178" fontId="0" fillId="0" borderId="0" xfId="1" applyNumberFormat="1" applyFont="1" applyFill="1" applyBorder="1" applyAlignment="1">
      <alignment vertical="center"/>
    </xf>
    <xf numFmtId="178" fontId="1" fillId="0" borderId="0" xfId="1" applyNumberFormat="1" applyFont="1" applyFill="1" applyBorder="1" applyAlignment="1">
      <alignment vertical="center" wrapText="1"/>
    </xf>
    <xf numFmtId="0" fontId="1" fillId="0" borderId="0" xfId="0" applyFont="1" applyAlignment="1">
      <alignment horizontal="left" vertical="center"/>
    </xf>
    <xf numFmtId="178" fontId="0" fillId="0" borderId="0" xfId="0" applyNumberFormat="1" applyAlignment="1">
      <alignment vertical="center"/>
    </xf>
    <xf numFmtId="58" fontId="8" fillId="5" borderId="8" xfId="1" applyNumberFormat="1" applyFont="1" applyFill="1" applyBorder="1" applyAlignment="1">
      <alignment horizontal="center" vertical="center" wrapText="1"/>
    </xf>
    <xf numFmtId="58" fontId="8" fillId="5" borderId="28" xfId="1" applyNumberFormat="1" applyFont="1" applyFill="1" applyBorder="1" applyAlignment="1">
      <alignment horizontal="center" vertical="center" wrapText="1"/>
    </xf>
    <xf numFmtId="58" fontId="8" fillId="5" borderId="24" xfId="1" applyNumberFormat="1" applyFont="1" applyFill="1" applyBorder="1" applyAlignment="1">
      <alignment horizontal="center" vertical="center" wrapText="1"/>
    </xf>
    <xf numFmtId="58" fontId="8" fillId="5" borderId="25" xfId="1" applyNumberFormat="1" applyFont="1" applyFill="1" applyBorder="1" applyAlignment="1">
      <alignment horizontal="center" vertical="center" wrapText="1"/>
    </xf>
    <xf numFmtId="0" fontId="0" fillId="0" borderId="8" xfId="0" applyBorder="1" applyAlignment="1">
      <alignment vertical="center"/>
    </xf>
    <xf numFmtId="0" fontId="0" fillId="0" borderId="8" xfId="0" applyBorder="1" applyAlignment="1">
      <alignment horizontal="center" vertical="center"/>
    </xf>
    <xf numFmtId="0" fontId="0" fillId="0" borderId="26" xfId="0" applyBorder="1" applyAlignment="1">
      <alignment horizontal="left" vertical="center"/>
    </xf>
    <xf numFmtId="178" fontId="0" fillId="0" borderId="8" xfId="1" applyNumberFormat="1" applyFont="1" applyFill="1" applyBorder="1" applyAlignment="1">
      <alignment vertical="center"/>
    </xf>
    <xf numFmtId="178" fontId="1" fillId="0" borderId="8" xfId="1" applyNumberFormat="1" applyFont="1" applyFill="1" applyBorder="1" applyAlignment="1">
      <alignment vertical="center"/>
    </xf>
    <xf numFmtId="0" fontId="11" fillId="0" borderId="21" xfId="0" applyFont="1" applyBorder="1" applyAlignment="1">
      <alignment horizontal="left" vertical="center" wrapText="1"/>
    </xf>
    <xf numFmtId="0" fontId="11" fillId="0" borderId="26" xfId="0" applyFont="1" applyBorder="1" applyAlignment="1">
      <alignment horizontal="left" vertical="center" wrapText="1"/>
    </xf>
    <xf numFmtId="0" fontId="11" fillId="0" borderId="11" xfId="0" applyFont="1" applyBorder="1" applyAlignment="1">
      <alignment horizontal="left" vertical="center" wrapText="1"/>
    </xf>
    <xf numFmtId="178" fontId="14" fillId="0" borderId="8" xfId="1" applyNumberFormat="1" applyFont="1" applyFill="1" applyBorder="1" applyAlignment="1">
      <alignment vertical="center"/>
    </xf>
    <xf numFmtId="0" fontId="0" fillId="0" borderId="8" xfId="0" applyBorder="1"/>
    <xf numFmtId="0" fontId="0" fillId="0" borderId="8" xfId="0" applyBorder="1" applyAlignment="1">
      <alignment horizontal="center"/>
    </xf>
    <xf numFmtId="178" fontId="0" fillId="2" borderId="8" xfId="1" applyNumberFormat="1" applyFont="1" applyFill="1" applyBorder="1" applyAlignment="1">
      <alignment horizontal="left"/>
    </xf>
    <xf numFmtId="178" fontId="0" fillId="0" borderId="8" xfId="1" applyNumberFormat="1" applyFont="1" applyBorder="1"/>
    <xf numFmtId="178" fontId="0" fillId="0" borderId="8" xfId="1" applyNumberFormat="1" applyFont="1" applyBorder="1" applyAlignment="1">
      <alignment vertical="center"/>
    </xf>
    <xf numFmtId="0" fontId="0" fillId="0" borderId="8" xfId="0" applyBorder="1" applyAlignment="1">
      <alignment horizontal="left" vertical="center"/>
    </xf>
    <xf numFmtId="178" fontId="0" fillId="0" borderId="8" xfId="1" applyNumberFormat="1" applyFont="1" applyBorder="1" applyAlignment="1">
      <alignment horizontal="left" vertical="center"/>
    </xf>
    <xf numFmtId="0" fontId="0" fillId="0" borderId="8" xfId="0" applyBorder="1" applyAlignment="1">
      <alignment horizontal="left"/>
    </xf>
    <xf numFmtId="43" fontId="0" fillId="0" borderId="8" xfId="1" applyFont="1" applyBorder="1"/>
    <xf numFmtId="43" fontId="1" fillId="0" borderId="8" xfId="1" applyFont="1" applyBorder="1"/>
    <xf numFmtId="177" fontId="1" fillId="0" borderId="8" xfId="0" applyNumberFormat="1" applyFont="1" applyBorder="1"/>
    <xf numFmtId="43" fontId="1" fillId="0" borderId="8" xfId="0" applyNumberFormat="1" applyFont="1" applyBorder="1"/>
    <xf numFmtId="177" fontId="1" fillId="0" borderId="0" xfId="0" applyNumberFormat="1" applyFont="1"/>
    <xf numFmtId="0" fontId="1" fillId="0" borderId="0" xfId="0" applyFont="1"/>
    <xf numFmtId="177" fontId="1" fillId="0" borderId="8" xfId="0" applyNumberFormat="1" applyFont="1" applyBorder="1" applyAlignment="1">
      <alignment horizontal="center"/>
    </xf>
    <xf numFmtId="43" fontId="1" fillId="0" borderId="8" xfId="0" applyNumberFormat="1" applyFont="1" applyBorder="1" applyAlignment="1">
      <alignment horizontal="center"/>
    </xf>
    <xf numFmtId="43" fontId="0" fillId="0" borderId="8" xfId="0" applyNumberFormat="1" applyBorder="1"/>
    <xf numFmtId="0" fontId="1" fillId="0" borderId="8" xfId="0" applyFont="1" applyBorder="1" applyAlignment="1">
      <alignment horizontal="center"/>
    </xf>
    <xf numFmtId="2" fontId="0" fillId="0" borderId="8" xfId="0" applyNumberFormat="1" applyBorder="1" applyAlignment="1">
      <alignment horizontal="right"/>
    </xf>
    <xf numFmtId="177" fontId="0" fillId="0" borderId="0" xfId="0" applyNumberFormat="1"/>
    <xf numFmtId="43" fontId="1" fillId="0" borderId="8" xfId="1" applyFont="1" applyFill="1" applyBorder="1" applyAlignment="1">
      <alignment vertical="center"/>
    </xf>
    <xf numFmtId="43" fontId="0" fillId="0" borderId="8" xfId="1" applyFont="1" applyFill="1" applyBorder="1" applyAlignment="1">
      <alignment vertical="center"/>
    </xf>
    <xf numFmtId="178" fontId="11" fillId="0" borderId="8" xfId="1" applyNumberFormat="1" applyFont="1" applyFill="1" applyBorder="1" applyAlignment="1">
      <alignment vertical="center"/>
    </xf>
    <xf numFmtId="178" fontId="1" fillId="2" borderId="8" xfId="1" applyNumberFormat="1" applyFont="1" applyFill="1" applyBorder="1" applyAlignment="1">
      <alignment horizontal="center" vertical="center"/>
    </xf>
    <xf numFmtId="0" fontId="11" fillId="2" borderId="8" xfId="0" applyFont="1" applyFill="1" applyBorder="1" applyAlignment="1">
      <alignment horizontal="left" vertical="center" wrapText="1"/>
    </xf>
    <xf numFmtId="0" fontId="1" fillId="0" borderId="8" xfId="0" applyFont="1" applyBorder="1" applyAlignment="1">
      <alignment vertical="center"/>
    </xf>
    <xf numFmtId="43" fontId="11" fillId="0" borderId="8" xfId="1" applyFont="1" applyFill="1" applyBorder="1" applyAlignment="1">
      <alignment vertical="center"/>
    </xf>
    <xf numFmtId="178" fontId="1" fillId="2" borderId="8" xfId="1" applyNumberFormat="1" applyFont="1" applyFill="1" applyBorder="1" applyAlignment="1">
      <alignment horizontal="center" vertical="center" wrapText="1"/>
    </xf>
    <xf numFmtId="43" fontId="14" fillId="0" borderId="8" xfId="1" applyFont="1" applyFill="1" applyBorder="1" applyAlignment="1">
      <alignment vertical="center"/>
    </xf>
    <xf numFmtId="0" fontId="14" fillId="2" borderId="21" xfId="0" applyFont="1" applyFill="1" applyBorder="1" applyAlignment="1">
      <alignment horizontal="left" vertical="center"/>
    </xf>
    <xf numFmtId="0" fontId="14" fillId="2" borderId="11" xfId="0" applyFont="1" applyFill="1" applyBorder="1" applyAlignment="1">
      <alignment horizontal="left" vertical="center"/>
    </xf>
    <xf numFmtId="0" fontId="1" fillId="0" borderId="8" xfId="0" applyFont="1" applyBorder="1" applyAlignment="1">
      <alignment vertical="center" wrapText="1"/>
    </xf>
    <xf numFmtId="0" fontId="0" fillId="0" borderId="8" xfId="0" applyBorder="1" applyAlignment="1">
      <alignment horizontal="center" vertical="center" wrapText="1"/>
    </xf>
    <xf numFmtId="178" fontId="0" fillId="2" borderId="8" xfId="1" applyNumberFormat="1" applyFont="1" applyFill="1" applyBorder="1" applyAlignment="1">
      <alignment horizontal="center" vertical="center" wrapText="1"/>
    </xf>
    <xf numFmtId="0" fontId="8" fillId="5" borderId="8" xfId="0" applyFont="1" applyFill="1" applyBorder="1" applyAlignment="1">
      <alignment horizontal="center"/>
    </xf>
    <xf numFmtId="0" fontId="11" fillId="2" borderId="26" xfId="0" applyFont="1" applyFill="1" applyBorder="1" applyAlignment="1">
      <alignment horizontal="left" vertical="center" wrapText="1"/>
    </xf>
    <xf numFmtId="0" fontId="14" fillId="2" borderId="26" xfId="0" applyFont="1" applyFill="1" applyBorder="1" applyAlignment="1">
      <alignment horizontal="left" vertical="center" wrapText="1"/>
    </xf>
    <xf numFmtId="0" fontId="14" fillId="2" borderId="26" xfId="0" applyFont="1" applyFill="1" applyBorder="1" applyAlignment="1">
      <alignment horizontal="left" vertical="center"/>
    </xf>
    <xf numFmtId="177" fontId="0" fillId="0" borderId="8" xfId="0" applyNumberFormat="1" applyBorder="1"/>
    <xf numFmtId="177" fontId="0" fillId="0" borderId="8" xfId="0" applyNumberFormat="1" applyBorder="1" applyAlignment="1">
      <alignment horizontal="center"/>
    </xf>
    <xf numFmtId="43" fontId="0" fillId="0" borderId="8" xfId="0" applyNumberFormat="1" applyBorder="1" applyAlignment="1">
      <alignment horizontal="center"/>
    </xf>
    <xf numFmtId="0" fontId="3" fillId="3" borderId="29" xfId="0" applyFont="1" applyFill="1" applyBorder="1" applyAlignment="1">
      <alignment horizontal="center" vertical="center"/>
    </xf>
    <xf numFmtId="0" fontId="3" fillId="3" borderId="29" xfId="0" applyFont="1" applyFill="1" applyBorder="1" applyAlignment="1">
      <alignment vertical="center"/>
    </xf>
    <xf numFmtId="178" fontId="3" fillId="3" borderId="30" xfId="1" applyNumberFormat="1" applyFont="1" applyFill="1" applyBorder="1" applyAlignment="1">
      <alignment horizontal="center" vertical="center"/>
    </xf>
    <xf numFmtId="178" fontId="3" fillId="3" borderId="31" xfId="1" applyNumberFormat="1" applyFont="1" applyFill="1" applyBorder="1" applyAlignment="1">
      <alignment horizontal="center" vertical="center"/>
    </xf>
    <xf numFmtId="0" fontId="3" fillId="3" borderId="32" xfId="0" applyFont="1" applyFill="1" applyBorder="1" applyAlignment="1">
      <alignment horizontal="center" vertical="center"/>
    </xf>
    <xf numFmtId="178" fontId="3" fillId="3" borderId="5" xfId="1" applyNumberFormat="1" applyFont="1" applyFill="1" applyBorder="1" applyAlignment="1">
      <alignment horizontal="center" vertical="center"/>
    </xf>
    <xf numFmtId="49" fontId="6" fillId="2" borderId="13" xfId="0" applyNumberFormat="1" applyFont="1" applyFill="1" applyBorder="1" applyAlignment="1">
      <alignment vertical="center"/>
    </xf>
    <xf numFmtId="179" fontId="7" fillId="2" borderId="12" xfId="1" applyNumberFormat="1" applyFont="1" applyFill="1" applyBorder="1" applyAlignment="1">
      <alignment vertical="center"/>
    </xf>
    <xf numFmtId="178" fontId="7" fillId="2" borderId="33" xfId="1" applyNumberFormat="1" applyFont="1" applyFill="1" applyBorder="1" applyAlignment="1">
      <alignment vertical="center"/>
    </xf>
    <xf numFmtId="0" fontId="12" fillId="8" borderId="8" xfId="0" applyFont="1" applyFill="1" applyBorder="1" applyAlignment="1">
      <alignment horizontal="left" vertical="top"/>
    </xf>
    <xf numFmtId="0" fontId="1" fillId="8" borderId="8" xfId="64" applyFont="1" applyFill="1" applyBorder="1" applyAlignment="1">
      <alignment horizontal="center"/>
    </xf>
    <xf numFmtId="0" fontId="12" fillId="8" borderId="8" xfId="0" applyFont="1" applyFill="1" applyBorder="1" applyAlignment="1">
      <alignment vertical="top"/>
    </xf>
    <xf numFmtId="178" fontId="0" fillId="8" borderId="8" xfId="1" applyNumberFormat="1" applyFont="1" applyFill="1" applyBorder="1"/>
    <xf numFmtId="178" fontId="12" fillId="8" borderId="8" xfId="1" applyNumberFormat="1" applyFont="1" applyFill="1" applyBorder="1" applyAlignment="1">
      <alignment horizontal="center" vertical="top"/>
    </xf>
    <xf numFmtId="0" fontId="1" fillId="8" borderId="8" xfId="64" applyFont="1" applyFill="1" applyBorder="1"/>
    <xf numFmtId="0" fontId="1" fillId="8" borderId="8" xfId="64" applyFont="1" applyFill="1" applyBorder="1" applyAlignment="1">
      <alignment wrapText="1"/>
    </xf>
    <xf numFmtId="0" fontId="11" fillId="8" borderId="8" xfId="64" applyFont="1" applyFill="1" applyBorder="1"/>
    <xf numFmtId="0" fontId="1" fillId="6" borderId="8" xfId="64" applyFont="1" applyFill="1" applyBorder="1"/>
    <xf numFmtId="0" fontId="12" fillId="0" borderId="8" xfId="0" applyFont="1" applyBorder="1" applyAlignment="1">
      <alignment horizontal="left" vertical="top"/>
    </xf>
    <xf numFmtId="0" fontId="1" fillId="0" borderId="8" xfId="64" applyFont="1" applyBorder="1" applyAlignment="1">
      <alignment horizontal="center"/>
    </xf>
    <xf numFmtId="0" fontId="12" fillId="0" borderId="8" xfId="0" applyFont="1" applyBorder="1" applyAlignment="1">
      <alignment vertical="top"/>
    </xf>
    <xf numFmtId="178" fontId="12" fillId="0" borderId="8" xfId="1" applyNumberFormat="1" applyFont="1" applyFill="1" applyBorder="1" applyAlignment="1">
      <alignment horizontal="center" vertical="top"/>
    </xf>
    <xf numFmtId="177" fontId="0" fillId="2" borderId="22" xfId="59" applyFont="1" applyFill="1" applyBorder="1" applyAlignment="1">
      <alignment horizontal="center"/>
    </xf>
    <xf numFmtId="0" fontId="1" fillId="2" borderId="22" xfId="64" applyFont="1" applyFill="1" applyBorder="1"/>
    <xf numFmtId="0" fontId="1" fillId="7" borderId="8" xfId="64" applyFont="1" applyFill="1" applyBorder="1" applyAlignment="1">
      <alignment horizontal="center"/>
    </xf>
    <xf numFmtId="43" fontId="0" fillId="7" borderId="8" xfId="1" applyFont="1" applyFill="1" applyBorder="1"/>
    <xf numFmtId="178" fontId="1" fillId="7" borderId="8" xfId="1" applyNumberFormat="1" applyFont="1" applyFill="1" applyBorder="1"/>
    <xf numFmtId="43" fontId="1" fillId="7" borderId="8" xfId="1" applyFont="1" applyFill="1" applyBorder="1" applyAlignment="1">
      <alignment wrapText="1"/>
    </xf>
    <xf numFmtId="0" fontId="0" fillId="0" borderId="0" xfId="0" applyAlignment="1">
      <alignment horizontal="center" wrapText="1"/>
    </xf>
    <xf numFmtId="0" fontId="1" fillId="0" borderId="8" xfId="0" applyFont="1" applyBorder="1"/>
    <xf numFmtId="178" fontId="11" fillId="0" borderId="8" xfId="1" applyNumberFormat="1" applyFont="1" applyBorder="1"/>
    <xf numFmtId="43" fontId="14" fillId="2" borderId="8" xfId="1" applyFont="1" applyFill="1" applyBorder="1" applyAlignment="1">
      <alignment horizontal="left"/>
    </xf>
    <xf numFmtId="43" fontId="11" fillId="2" borderId="8" xfId="1" applyFont="1" applyFill="1" applyBorder="1" applyAlignment="1">
      <alignment horizontal="left"/>
    </xf>
    <xf numFmtId="58" fontId="8" fillId="5" borderId="8" xfId="0" applyNumberFormat="1" applyFont="1" applyFill="1" applyBorder="1" applyAlignment="1">
      <alignment horizontal="center" vertical="center" wrapText="1"/>
    </xf>
    <xf numFmtId="58" fontId="3" fillId="5" borderId="8" xfId="1" applyNumberFormat="1" applyFont="1" applyFill="1" applyBorder="1" applyAlignment="1">
      <alignment horizontal="center" vertical="center" wrapText="1"/>
    </xf>
    <xf numFmtId="0" fontId="14" fillId="2" borderId="8" xfId="0" applyFont="1" applyFill="1" applyBorder="1" applyAlignment="1">
      <alignment horizontal="left" vertical="center" wrapText="1"/>
    </xf>
    <xf numFmtId="178" fontId="0" fillId="2" borderId="8" xfId="1" applyNumberFormat="1" applyFont="1" applyFill="1" applyBorder="1" applyAlignment="1">
      <alignment horizontal="right" vertical="center"/>
    </xf>
    <xf numFmtId="178" fontId="0" fillId="2" borderId="8" xfId="1" applyNumberFormat="1" applyFont="1" applyFill="1" applyBorder="1" applyAlignment="1">
      <alignment horizontal="center"/>
    </xf>
    <xf numFmtId="178" fontId="14" fillId="2" borderId="8" xfId="0" applyNumberFormat="1" applyFont="1" applyFill="1" applyBorder="1"/>
    <xf numFmtId="178" fontId="1" fillId="2" borderId="8" xfId="0" applyNumberFormat="1" applyFont="1" applyFill="1" applyBorder="1"/>
    <xf numFmtId="0" fontId="0" fillId="0" borderId="0" xfId="0" applyAlignment="1">
      <alignment horizontal="center"/>
    </xf>
    <xf numFmtId="58" fontId="3" fillId="5" borderId="11" xfId="1" applyNumberFormat="1" applyFont="1" applyFill="1" applyBorder="1" applyAlignment="1">
      <alignment horizontal="center" vertical="center" wrapText="1"/>
    </xf>
    <xf numFmtId="178" fontId="14" fillId="0" borderId="8" xfId="0" applyNumberFormat="1" applyFont="1" applyBorder="1" applyAlignment="1">
      <alignment horizontal="center" vertical="center"/>
    </xf>
    <xf numFmtId="178" fontId="1" fillId="2" borderId="8" xfId="0" applyNumberFormat="1" applyFont="1" applyFill="1" applyBorder="1" applyAlignment="1">
      <alignment horizontal="center" vertical="center"/>
    </xf>
    <xf numFmtId="43" fontId="0" fillId="0" borderId="11" xfId="1" applyFont="1" applyFill="1" applyBorder="1" applyAlignment="1">
      <alignment vertical="center"/>
    </xf>
    <xf numFmtId="178" fontId="11" fillId="0" borderId="8" xfId="0" applyNumberFormat="1" applyFont="1" applyBorder="1" applyAlignment="1">
      <alignment horizontal="center" vertical="center"/>
    </xf>
    <xf numFmtId="43" fontId="0" fillId="2" borderId="0" xfId="1" applyFont="1" applyFill="1"/>
    <xf numFmtId="0" fontId="8" fillId="0" borderId="0" xfId="0" applyFont="1" applyAlignment="1">
      <alignment horizontal="center"/>
    </xf>
    <xf numFmtId="0" fontId="8" fillId="5" borderId="26" xfId="0" applyFont="1" applyFill="1" applyBorder="1" applyAlignment="1">
      <alignment horizontal="center" vertical="center" wrapText="1"/>
    </xf>
    <xf numFmtId="0" fontId="8" fillId="5" borderId="11" xfId="0" applyFont="1" applyFill="1" applyBorder="1" applyAlignment="1">
      <alignment horizontal="center" vertical="center" wrapText="1"/>
    </xf>
    <xf numFmtId="178" fontId="0" fillId="0" borderId="8" xfId="1" applyNumberFormat="1" applyFont="1" applyFill="1" applyBorder="1" applyAlignment="1">
      <alignment horizontal="center" vertical="center"/>
    </xf>
    <xf numFmtId="177" fontId="11" fillId="0" borderId="8" xfId="0" applyNumberFormat="1" applyFont="1" applyBorder="1" applyAlignment="1">
      <alignment horizontal="center" vertical="center"/>
    </xf>
    <xf numFmtId="0" fontId="11" fillId="2" borderId="21" xfId="0" applyFont="1" applyFill="1" applyBorder="1" applyAlignment="1">
      <alignment horizontal="left"/>
    </xf>
    <xf numFmtId="0" fontId="11" fillId="2" borderId="26" xfId="0" applyFont="1" applyFill="1" applyBorder="1" applyAlignment="1">
      <alignment horizontal="left"/>
    </xf>
    <xf numFmtId="0" fontId="11" fillId="2" borderId="11" xfId="0" applyFont="1" applyFill="1" applyBorder="1" applyAlignment="1">
      <alignment horizontal="left"/>
    </xf>
    <xf numFmtId="43" fontId="0" fillId="0" borderId="8" xfId="1" applyFont="1" applyFill="1" applyBorder="1"/>
    <xf numFmtId="178" fontId="11" fillId="0" borderId="8" xfId="1" applyNumberFormat="1" applyFont="1" applyFill="1" applyBorder="1" applyAlignment="1">
      <alignment horizontal="center" vertical="center"/>
    </xf>
    <xf numFmtId="43" fontId="0" fillId="0" borderId="0" xfId="1" applyFont="1" applyFill="1" applyBorder="1"/>
    <xf numFmtId="0" fontId="3" fillId="3" borderId="2" xfId="0" applyFont="1" applyFill="1" applyBorder="1" applyAlignment="1">
      <alignment horizontal="center" vertical="center"/>
    </xf>
    <xf numFmtId="0" fontId="3" fillId="3" borderId="6" xfId="0" applyFont="1" applyFill="1" applyBorder="1" applyAlignment="1">
      <alignment horizontal="center" vertical="center"/>
    </xf>
    <xf numFmtId="178" fontId="3" fillId="3" borderId="11" xfId="1" applyNumberFormat="1" applyFont="1" applyFill="1" applyBorder="1" applyAlignment="1">
      <alignment horizontal="center" vertical="center"/>
    </xf>
    <xf numFmtId="178" fontId="1" fillId="2" borderId="11" xfId="1" applyNumberFormat="1" applyFont="1" applyFill="1" applyBorder="1" applyAlignment="1">
      <alignment horizontal="center" vertical="center"/>
    </xf>
    <xf numFmtId="49" fontId="6" fillId="4" borderId="13" xfId="0" applyNumberFormat="1" applyFont="1" applyFill="1" applyBorder="1" applyAlignment="1">
      <alignment vertical="center"/>
    </xf>
    <xf numFmtId="43" fontId="11" fillId="0" borderId="8" xfId="1" applyFont="1" applyFill="1" applyBorder="1" applyAlignment="1">
      <alignment wrapText="1"/>
    </xf>
    <xf numFmtId="43" fontId="1" fillId="0" borderId="8" xfId="1" applyFont="1" applyFill="1" applyBorder="1"/>
    <xf numFmtId="43" fontId="1" fillId="0" borderId="8" xfId="1" applyFont="1" applyFill="1" applyBorder="1" applyAlignment="1">
      <alignment wrapText="1"/>
    </xf>
    <xf numFmtId="0" fontId="1" fillId="7" borderId="0" xfId="64" applyFont="1" applyFill="1"/>
    <xf numFmtId="43" fontId="8" fillId="5" borderId="21" xfId="1" applyFont="1" applyFill="1" applyBorder="1" applyAlignment="1">
      <alignment horizontal="center" vertical="center" wrapText="1"/>
    </xf>
    <xf numFmtId="43" fontId="8" fillId="5" borderId="11" xfId="1" applyFont="1" applyFill="1" applyBorder="1" applyAlignment="1">
      <alignment horizontal="center" vertical="center" wrapText="1"/>
    </xf>
    <xf numFmtId="43" fontId="1" fillId="2" borderId="8" xfId="1" applyFont="1" applyFill="1" applyBorder="1"/>
    <xf numFmtId="0" fontId="0" fillId="8" borderId="8" xfId="0" applyFill="1" applyBorder="1" applyAlignment="1">
      <alignment horizontal="center"/>
    </xf>
    <xf numFmtId="178" fontId="11" fillId="0" borderId="8" xfId="1" applyNumberFormat="1" applyFont="1" applyFill="1" applyBorder="1"/>
    <xf numFmtId="43" fontId="11" fillId="8" borderId="8" xfId="1" applyFont="1" applyFill="1" applyBorder="1"/>
    <xf numFmtId="178" fontId="0" fillId="8" borderId="8" xfId="1" applyNumberFormat="1" applyFont="1" applyFill="1" applyBorder="1" applyAlignment="1">
      <alignment horizontal="center"/>
    </xf>
    <xf numFmtId="0" fontId="11" fillId="8" borderId="8" xfId="0" applyFont="1" applyFill="1" applyBorder="1" applyAlignment="1">
      <alignment horizontal="left" vertical="center"/>
    </xf>
    <xf numFmtId="0" fontId="14" fillId="8" borderId="8" xfId="0" applyFont="1" applyFill="1" applyBorder="1" applyAlignment="1">
      <alignment horizontal="left" vertical="center"/>
    </xf>
    <xf numFmtId="0" fontId="0" fillId="8" borderId="8" xfId="0" applyFill="1" applyBorder="1"/>
    <xf numFmtId="0" fontId="8" fillId="5" borderId="23" xfId="0" applyFont="1" applyFill="1" applyBorder="1" applyAlignment="1">
      <alignment horizontal="center" vertical="center" wrapText="1"/>
    </xf>
    <xf numFmtId="0" fontId="0" fillId="8" borderId="8" xfId="0" applyFill="1" applyBorder="1" applyAlignment="1">
      <alignment horizontal="center" vertical="center"/>
    </xf>
    <xf numFmtId="43" fontId="14" fillId="0" borderId="11" xfId="1" applyFont="1" applyFill="1" applyBorder="1" applyAlignment="1">
      <alignment vertical="center"/>
    </xf>
    <xf numFmtId="43" fontId="11" fillId="8" borderId="11" xfId="1" applyFont="1" applyFill="1" applyBorder="1" applyAlignment="1">
      <alignment vertical="center"/>
    </xf>
    <xf numFmtId="178" fontId="0" fillId="8" borderId="8" xfId="1" applyNumberFormat="1" applyFont="1" applyFill="1" applyBorder="1" applyAlignment="1">
      <alignment vertical="center"/>
    </xf>
    <xf numFmtId="178" fontId="0" fillId="8" borderId="8" xfId="1" applyNumberFormat="1" applyFont="1" applyFill="1" applyBorder="1" applyAlignment="1">
      <alignment horizontal="center" vertical="center"/>
    </xf>
    <xf numFmtId="0" fontId="14" fillId="0" borderId="11" xfId="0" applyFont="1" applyBorder="1" applyAlignment="1">
      <alignment horizontal="left" vertical="center"/>
    </xf>
    <xf numFmtId="0" fontId="14" fillId="0" borderId="21" xfId="0" applyFont="1" applyBorder="1" applyAlignment="1">
      <alignment horizontal="left" vertical="center"/>
    </xf>
    <xf numFmtId="0" fontId="0" fillId="0" borderId="0" xfId="1" applyNumberFormat="1" applyFont="1" applyFill="1" applyAlignment="1">
      <alignment vertical="center"/>
    </xf>
    <xf numFmtId="43" fontId="14" fillId="8" borderId="11" xfId="1" applyFont="1" applyFill="1" applyBorder="1" applyAlignment="1">
      <alignment vertical="center"/>
    </xf>
    <xf numFmtId="43" fontId="11" fillId="0" borderId="11" xfId="1" applyFont="1" applyFill="1" applyBorder="1" applyAlignment="1">
      <alignment vertical="center"/>
    </xf>
    <xf numFmtId="0" fontId="11" fillId="0" borderId="11" xfId="0" applyFont="1" applyBorder="1" applyAlignment="1">
      <alignment horizontal="left" vertical="center"/>
    </xf>
    <xf numFmtId="0" fontId="11" fillId="0" borderId="21" xfId="0" applyFont="1" applyBorder="1" applyAlignment="1">
      <alignment horizontal="left" vertical="center"/>
    </xf>
    <xf numFmtId="0" fontId="11" fillId="0" borderId="26" xfId="1" applyNumberFormat="1" applyFont="1" applyFill="1" applyBorder="1" applyAlignment="1">
      <alignment horizontal="left" vertical="center" wrapText="1"/>
    </xf>
    <xf numFmtId="0" fontId="0" fillId="8" borderId="8" xfId="0" applyFill="1" applyBorder="1" applyAlignment="1">
      <alignment horizontal="center" vertical="center" wrapText="1"/>
    </xf>
    <xf numFmtId="178" fontId="0" fillId="8" borderId="8" xfId="1" applyNumberFormat="1" applyFont="1" applyFill="1" applyBorder="1" applyAlignment="1">
      <alignment vertical="center" wrapText="1"/>
    </xf>
    <xf numFmtId="178" fontId="0" fillId="8" borderId="8" xfId="1" applyNumberFormat="1" applyFont="1" applyFill="1" applyBorder="1" applyAlignment="1">
      <alignment horizontal="center" vertical="center" wrapText="1"/>
    </xf>
    <xf numFmtId="178" fontId="0" fillId="0" borderId="8" xfId="1" applyNumberFormat="1" applyFont="1" applyFill="1" applyBorder="1" applyAlignment="1">
      <alignment vertical="center" wrapText="1"/>
    </xf>
    <xf numFmtId="0" fontId="1" fillId="0" borderId="8" xfId="0" applyFont="1" applyBorder="1" applyAlignment="1">
      <alignment horizontal="left" vertical="center"/>
    </xf>
    <xf numFmtId="178" fontId="0" fillId="8" borderId="8" xfId="1" applyNumberFormat="1" applyFont="1" applyFill="1" applyBorder="1" applyAlignment="1">
      <alignment horizontal="left" vertical="center"/>
    </xf>
    <xf numFmtId="178" fontId="0" fillId="0" borderId="8" xfId="1" applyNumberFormat="1" applyFont="1" applyFill="1" applyBorder="1" applyAlignment="1">
      <alignment horizontal="left" vertical="center"/>
    </xf>
    <xf numFmtId="178" fontId="0" fillId="8" borderId="8" xfId="1" applyNumberFormat="1" applyFont="1" applyFill="1" applyBorder="1" applyAlignment="1">
      <alignment horizontal="right" vertical="center"/>
    </xf>
    <xf numFmtId="0" fontId="8" fillId="5" borderId="8" xfId="0" applyFont="1" applyFill="1" applyBorder="1" applyAlignment="1">
      <alignment horizontal="center" vertical="center"/>
    </xf>
    <xf numFmtId="0" fontId="8" fillId="0" borderId="0" xfId="0" applyFont="1" applyAlignment="1">
      <alignment vertical="center"/>
    </xf>
    <xf numFmtId="58" fontId="7" fillId="5" borderId="11" xfId="1" applyNumberFormat="1" applyFont="1" applyFill="1" applyBorder="1" applyAlignment="1">
      <alignment horizontal="center" vertical="center" wrapText="1"/>
    </xf>
    <xf numFmtId="43" fontId="11" fillId="0" borderId="11" xfId="1" applyFont="1" applyBorder="1" applyAlignment="1">
      <alignment vertical="center"/>
    </xf>
    <xf numFmtId="0" fontId="11" fillId="0" borderId="8" xfId="0" applyFont="1" applyBorder="1" applyAlignment="1">
      <alignment horizontal="left" vertical="center" wrapText="1"/>
    </xf>
    <xf numFmtId="0" fontId="11" fillId="0" borderId="0" xfId="0" applyFont="1" applyAlignment="1">
      <alignment vertical="center" wrapText="1"/>
    </xf>
    <xf numFmtId="178" fontId="0" fillId="0" borderId="11" xfId="1" applyNumberFormat="1" applyFont="1" applyBorder="1" applyAlignment="1">
      <alignment vertical="center"/>
    </xf>
    <xf numFmtId="178" fontId="0" fillId="0" borderId="11" xfId="1" applyNumberFormat="1" applyFont="1" applyBorder="1"/>
    <xf numFmtId="0" fontId="0" fillId="0" borderId="8" xfId="0" applyBorder="1" applyAlignment="1">
      <alignment vertical="center" wrapText="1"/>
    </xf>
    <xf numFmtId="178" fontId="0" fillId="0" borderId="11" xfId="1" applyNumberFormat="1" applyFont="1" applyBorder="1" applyAlignment="1">
      <alignment vertical="center" wrapText="1"/>
    </xf>
    <xf numFmtId="58" fontId="8" fillId="5" borderId="26" xfId="1" applyNumberFormat="1" applyFont="1" applyFill="1" applyBorder="1" applyAlignment="1">
      <alignment horizontal="center" vertical="center" wrapText="1"/>
    </xf>
    <xf numFmtId="58" fontId="8" fillId="5" borderId="11" xfId="1" applyNumberFormat="1" applyFont="1" applyFill="1" applyBorder="1" applyAlignment="1">
      <alignment horizontal="center" vertical="center" wrapText="1"/>
    </xf>
    <xf numFmtId="58" fontId="8" fillId="5" borderId="21" xfId="1" applyNumberFormat="1" applyFont="1" applyFill="1" applyBorder="1" applyAlignment="1">
      <alignment horizontal="center" vertical="center" wrapText="1"/>
    </xf>
    <xf numFmtId="58" fontId="8" fillId="5" borderId="0" xfId="1" applyNumberFormat="1" applyFont="1" applyFill="1" applyBorder="1" applyAlignment="1">
      <alignment horizontal="center" vertical="center" wrapText="1"/>
    </xf>
    <xf numFmtId="178" fontId="0" fillId="0" borderId="0" xfId="1" applyNumberFormat="1" applyFont="1"/>
    <xf numFmtId="0" fontId="0" fillId="0" borderId="26" xfId="0" applyBorder="1" applyAlignment="1">
      <alignment horizontal="center" vertical="center"/>
    </xf>
    <xf numFmtId="43" fontId="0" fillId="0" borderId="26" xfId="1" applyFont="1" applyBorder="1"/>
    <xf numFmtId="43" fontId="0" fillId="0" borderId="11" xfId="1" applyFont="1" applyBorder="1"/>
    <xf numFmtId="43" fontId="0" fillId="0" borderId="21" xfId="1" applyFont="1" applyBorder="1"/>
    <xf numFmtId="43" fontId="0" fillId="0" borderId="0" xfId="1" applyFont="1" applyBorder="1"/>
    <xf numFmtId="178" fontId="1" fillId="2" borderId="0" xfId="1" applyNumberFormat="1" applyFont="1" applyFill="1" applyBorder="1"/>
    <xf numFmtId="178" fontId="0" fillId="2" borderId="0" xfId="1" applyNumberFormat="1" applyFont="1" applyFill="1"/>
    <xf numFmtId="0" fontId="1" fillId="2" borderId="8" xfId="64" applyFont="1" applyFill="1" applyBorder="1"/>
    <xf numFmtId="178" fontId="0" fillId="2" borderId="8" xfId="1" applyNumberFormat="1" applyFont="1" applyFill="1" applyBorder="1" applyAlignment="1">
      <alignment wrapText="1"/>
    </xf>
    <xf numFmtId="178" fontId="0" fillId="0" borderId="8" xfId="1" applyNumberFormat="1" applyFont="1" applyFill="1" applyBorder="1" applyAlignment="1">
      <alignment vertical="top"/>
    </xf>
    <xf numFmtId="178" fontId="0" fillId="0" borderId="8" xfId="1" applyNumberFormat="1" applyFont="1" applyFill="1" applyBorder="1" applyAlignment="1">
      <alignment horizontal="center"/>
    </xf>
    <xf numFmtId="0" fontId="11" fillId="0" borderId="8" xfId="64" applyFont="1" applyBorder="1" applyAlignment="1">
      <alignment wrapText="1"/>
    </xf>
    <xf numFmtId="178" fontId="0" fillId="0" borderId="8" xfId="1" applyNumberFormat="1" applyFont="1" applyFill="1" applyBorder="1" applyAlignment="1">
      <alignment wrapText="1"/>
    </xf>
    <xf numFmtId="0" fontId="0" fillId="2" borderId="8" xfId="0" applyFill="1" applyBorder="1" applyAlignment="1">
      <alignment vertical="top"/>
    </xf>
    <xf numFmtId="0" fontId="0" fillId="2" borderId="8" xfId="0" applyFill="1" applyBorder="1"/>
    <xf numFmtId="0" fontId="1" fillId="8" borderId="0" xfId="64" applyFont="1" applyFill="1"/>
    <xf numFmtId="177" fontId="1" fillId="8" borderId="0" xfId="59" applyFont="1" applyFill="1" applyAlignment="1"/>
    <xf numFmtId="0" fontId="1" fillId="7" borderId="8" xfId="64" applyFont="1" applyFill="1" applyBorder="1"/>
    <xf numFmtId="178" fontId="0" fillId="7" borderId="8" xfId="1" applyNumberFormat="1" applyFont="1" applyFill="1" applyBorder="1" applyAlignment="1">
      <alignment wrapText="1"/>
    </xf>
    <xf numFmtId="178" fontId="0" fillId="7" borderId="8" xfId="1" applyNumberFormat="1" applyFont="1" applyFill="1" applyBorder="1" applyAlignment="1">
      <alignment vertical="top"/>
    </xf>
    <xf numFmtId="178" fontId="0" fillId="7" borderId="8" xfId="1" applyNumberFormat="1" applyFont="1" applyFill="1" applyBorder="1" applyAlignment="1">
      <alignment horizontal="center"/>
    </xf>
    <xf numFmtId="0" fontId="0" fillId="7" borderId="8" xfId="0" applyFill="1" applyBorder="1" applyAlignment="1">
      <alignment vertical="top"/>
    </xf>
    <xf numFmtId="0" fontId="0" fillId="7" borderId="8" xfId="0" applyFill="1" applyBorder="1"/>
    <xf numFmtId="178" fontId="0" fillId="8" borderId="8" xfId="1" applyNumberFormat="1" applyFont="1" applyFill="1" applyBorder="1" applyAlignment="1">
      <alignment wrapText="1"/>
    </xf>
    <xf numFmtId="178" fontId="0" fillId="8" borderId="8" xfId="1" applyNumberFormat="1" applyFont="1" applyFill="1" applyBorder="1" applyAlignment="1">
      <alignment vertical="top"/>
    </xf>
    <xf numFmtId="43" fontId="1" fillId="8" borderId="8" xfId="1" applyFont="1" applyFill="1" applyBorder="1" applyAlignment="1">
      <alignment wrapText="1"/>
    </xf>
    <xf numFmtId="43" fontId="1" fillId="8" borderId="8" xfId="1" applyFont="1" applyFill="1" applyBorder="1"/>
    <xf numFmtId="178" fontId="1" fillId="8" borderId="8" xfId="1" applyNumberFormat="1" applyFont="1" applyFill="1" applyBorder="1"/>
    <xf numFmtId="0" fontId="7" fillId="0" borderId="0" xfId="65" applyFont="1"/>
    <xf numFmtId="177" fontId="0" fillId="2" borderId="0" xfId="60" applyFont="1" applyFill="1"/>
    <xf numFmtId="2" fontId="10" fillId="2" borderId="8" xfId="0" applyNumberFormat="1" applyFont="1" applyFill="1" applyBorder="1" applyAlignment="1">
      <alignment vertical="center"/>
    </xf>
    <xf numFmtId="180" fontId="1" fillId="2" borderId="0" xfId="65" applyNumberFormat="1" applyFont="1" applyFill="1"/>
    <xf numFmtId="43" fontId="1" fillId="2" borderId="0" xfId="1" applyFont="1" applyFill="1" applyAlignment="1">
      <alignment horizontal="left"/>
    </xf>
    <xf numFmtId="0" fontId="1" fillId="2" borderId="0" xfId="65" applyFont="1" applyFill="1" applyAlignment="1">
      <alignment horizontal="center"/>
    </xf>
    <xf numFmtId="43" fontId="1" fillId="0" borderId="0" xfId="1" applyFont="1" applyFill="1" applyBorder="1" applyAlignment="1" applyProtection="1"/>
    <xf numFmtId="0" fontId="1" fillId="0" borderId="0" xfId="65" applyFont="1"/>
    <xf numFmtId="0" fontId="2" fillId="2" borderId="0" xfId="65" applyFont="1" applyFill="1"/>
    <xf numFmtId="2" fontId="10" fillId="3" borderId="8" xfId="0" applyNumberFormat="1" applyFont="1" applyFill="1" applyBorder="1" applyAlignment="1">
      <alignment vertical="center"/>
    </xf>
    <xf numFmtId="178" fontId="3" fillId="3" borderId="3" xfId="1" applyNumberFormat="1" applyFont="1" applyFill="1" applyBorder="1" applyAlignment="1">
      <alignment vertical="center"/>
    </xf>
    <xf numFmtId="178" fontId="3" fillId="3" borderId="4" xfId="1" applyNumberFormat="1" applyFont="1" applyFill="1" applyBorder="1" applyAlignment="1">
      <alignment vertical="center"/>
    </xf>
    <xf numFmtId="177" fontId="1" fillId="2" borderId="0" xfId="60" applyFont="1" applyFill="1" applyAlignment="1"/>
    <xf numFmtId="177" fontId="1" fillId="9" borderId="29" xfId="60" applyFont="1" applyFill="1" applyBorder="1" applyAlignment="1"/>
    <xf numFmtId="180" fontId="15" fillId="2" borderId="0" xfId="60" applyNumberFormat="1" applyFont="1" applyFill="1" applyAlignment="1">
      <alignment vertical="center"/>
    </xf>
    <xf numFmtId="0" fontId="4" fillId="2" borderId="0" xfId="65" applyFont="1" applyFill="1"/>
    <xf numFmtId="0" fontId="3" fillId="3" borderId="34" xfId="0" applyFont="1" applyFill="1" applyBorder="1" applyAlignment="1">
      <alignment horizontal="center" vertical="center"/>
    </xf>
    <xf numFmtId="178" fontId="5" fillId="3" borderId="34" xfId="1" applyNumberFormat="1" applyFont="1" applyFill="1" applyBorder="1" applyAlignment="1">
      <alignment horizontal="center" vertical="center"/>
    </xf>
    <xf numFmtId="2" fontId="10" fillId="3" borderId="19" xfId="0" applyNumberFormat="1" applyFont="1" applyFill="1" applyBorder="1" applyAlignment="1">
      <alignment vertical="center"/>
    </xf>
    <xf numFmtId="178" fontId="5" fillId="3" borderId="19" xfId="1" applyNumberFormat="1" applyFont="1" applyFill="1" applyBorder="1" applyAlignment="1">
      <alignment horizontal="center" vertical="center"/>
    </xf>
    <xf numFmtId="178" fontId="5" fillId="3" borderId="35" xfId="1" applyNumberFormat="1" applyFont="1" applyFill="1" applyBorder="1" applyAlignment="1">
      <alignment horizontal="center" vertical="center"/>
    </xf>
    <xf numFmtId="0" fontId="10" fillId="10" borderId="29" xfId="66" applyFill="1" applyBorder="1">
      <alignment vertical="top"/>
    </xf>
    <xf numFmtId="49" fontId="0" fillId="4" borderId="36" xfId="0" applyNumberFormat="1" applyFill="1" applyBorder="1" applyAlignment="1">
      <alignment vertical="center"/>
    </xf>
    <xf numFmtId="178" fontId="0" fillId="0" borderId="37" xfId="56" applyNumberFormat="1" applyFont="1" applyBorder="1">
      <alignment vertical="top"/>
    </xf>
    <xf numFmtId="178" fontId="0" fillId="0" borderId="38" xfId="56" applyNumberFormat="1" applyFont="1" applyBorder="1">
      <alignment vertical="top"/>
    </xf>
    <xf numFmtId="0" fontId="10" fillId="11" borderId="29" xfId="66" applyFill="1" applyBorder="1">
      <alignment vertical="top"/>
    </xf>
    <xf numFmtId="49" fontId="0" fillId="4" borderId="8" xfId="0" applyNumberFormat="1" applyFill="1" applyBorder="1" applyAlignment="1">
      <alignment vertical="center"/>
    </xf>
    <xf numFmtId="178" fontId="0" fillId="0" borderId="8" xfId="56" applyNumberFormat="1" applyFont="1" applyBorder="1">
      <alignment vertical="top"/>
    </xf>
    <xf numFmtId="0" fontId="10" fillId="8" borderId="29" xfId="66" applyFill="1" applyBorder="1">
      <alignment vertical="top"/>
    </xf>
    <xf numFmtId="49" fontId="6" fillId="4" borderId="39" xfId="0" applyNumberFormat="1" applyFont="1" applyFill="1" applyBorder="1" applyAlignment="1">
      <alignment vertical="center"/>
    </xf>
    <xf numFmtId="43" fontId="7" fillId="2" borderId="40" xfId="1" applyFont="1" applyFill="1" applyBorder="1" applyAlignment="1">
      <alignment vertical="center"/>
    </xf>
    <xf numFmtId="43" fontId="7" fillId="2" borderId="41" xfId="1" applyFont="1" applyFill="1" applyBorder="1" applyAlignment="1">
      <alignment vertical="center"/>
    </xf>
    <xf numFmtId="0" fontId="16" fillId="12" borderId="29" xfId="66" applyFont="1" applyFill="1" applyBorder="1">
      <alignment vertical="top"/>
    </xf>
    <xf numFmtId="2" fontId="10" fillId="2" borderId="0" xfId="0" applyNumberFormat="1" applyFont="1" applyFill="1" applyAlignment="1">
      <alignment vertical="center"/>
    </xf>
    <xf numFmtId="177" fontId="17" fillId="2" borderId="0" xfId="60" applyFont="1" applyFill="1" applyBorder="1" applyAlignment="1"/>
    <xf numFmtId="177" fontId="17" fillId="2" borderId="0" xfId="60" applyFont="1" applyFill="1" applyAlignment="1"/>
    <xf numFmtId="0" fontId="16" fillId="13" borderId="29" xfId="66" applyFont="1" applyFill="1" applyBorder="1">
      <alignment vertical="top"/>
    </xf>
    <xf numFmtId="0" fontId="1" fillId="0" borderId="0" xfId="65" applyFont="1" applyAlignment="1">
      <alignment horizontal="center"/>
    </xf>
    <xf numFmtId="0" fontId="0" fillId="0" borderId="0" xfId="0" applyAlignment="1">
      <alignment vertical="top"/>
    </xf>
    <xf numFmtId="39" fontId="0" fillId="0" borderId="0" xfId="0" applyNumberFormat="1" applyAlignment="1">
      <alignment vertical="top"/>
    </xf>
    <xf numFmtId="2" fontId="0" fillId="0" borderId="0" xfId="0" applyNumberFormat="1" applyAlignment="1">
      <alignment vertical="top"/>
    </xf>
    <xf numFmtId="0" fontId="16" fillId="0" borderId="29" xfId="66" applyFont="1" applyBorder="1">
      <alignment vertical="top"/>
    </xf>
    <xf numFmtId="0" fontId="10" fillId="0" borderId="0" xfId="66">
      <alignment vertical="top"/>
    </xf>
    <xf numFmtId="180" fontId="1" fillId="0" borderId="0" xfId="65" applyNumberFormat="1" applyFont="1"/>
    <xf numFmtId="2" fontId="10" fillId="2" borderId="42" xfId="0" applyNumberFormat="1" applyFont="1" applyFill="1" applyBorder="1" applyAlignment="1">
      <alignment vertical="center"/>
    </xf>
    <xf numFmtId="177" fontId="7" fillId="2" borderId="43" xfId="61" applyFont="1" applyFill="1" applyBorder="1" applyAlignment="1"/>
    <xf numFmtId="178" fontId="8" fillId="14" borderId="44" xfId="1" applyNumberFormat="1" applyFont="1" applyFill="1" applyBorder="1" applyAlignment="1">
      <alignment horizontal="center" vertical="center" wrapText="1"/>
    </xf>
    <xf numFmtId="178" fontId="8" fillId="14" borderId="30" xfId="1" applyNumberFormat="1" applyFont="1" applyFill="1" applyBorder="1" applyAlignment="1">
      <alignment horizontal="center" vertical="center" wrapText="1"/>
    </xf>
    <xf numFmtId="178" fontId="8" fillId="14" borderId="31" xfId="1" applyNumberFormat="1" applyFont="1" applyFill="1" applyBorder="1" applyAlignment="1">
      <alignment horizontal="center" vertical="center" wrapText="1"/>
    </xf>
    <xf numFmtId="180" fontId="7" fillId="2" borderId="0" xfId="65" applyNumberFormat="1" applyFont="1" applyFill="1"/>
    <xf numFmtId="0" fontId="1" fillId="2" borderId="0" xfId="65" applyFont="1" applyFill="1" applyAlignment="1">
      <alignment horizontal="left" wrapText="1"/>
    </xf>
    <xf numFmtId="0" fontId="8" fillId="14" borderId="2" xfId="65" applyFont="1" applyFill="1" applyBorder="1" applyAlignment="1">
      <alignment horizontal="center" vertical="center" wrapText="1"/>
    </xf>
    <xf numFmtId="178" fontId="8" fillId="14" borderId="2" xfId="1" applyNumberFormat="1" applyFont="1" applyFill="1" applyBorder="1" applyAlignment="1">
      <alignment horizontal="center" vertical="center" wrapText="1"/>
    </xf>
    <xf numFmtId="180" fontId="8" fillId="14" borderId="2" xfId="65" applyNumberFormat="1" applyFont="1" applyFill="1" applyBorder="1" applyAlignment="1">
      <alignment horizontal="center" vertical="center" wrapText="1"/>
    </xf>
    <xf numFmtId="0" fontId="8" fillId="14" borderId="2" xfId="65" applyFont="1" applyFill="1" applyBorder="1" applyAlignment="1">
      <alignment horizontal="left" vertical="center" wrapText="1"/>
    </xf>
    <xf numFmtId="43" fontId="8" fillId="14" borderId="2" xfId="1" applyFont="1" applyFill="1" applyBorder="1" applyAlignment="1">
      <alignment horizontal="left" vertical="center" wrapText="1"/>
    </xf>
    <xf numFmtId="43" fontId="8" fillId="14" borderId="1" xfId="1" applyFont="1" applyFill="1" applyBorder="1" applyAlignment="1">
      <alignment horizontal="center" vertical="center" wrapText="1"/>
    </xf>
    <xf numFmtId="0" fontId="8" fillId="14" borderId="34" xfId="65" applyFont="1" applyFill="1" applyBorder="1" applyAlignment="1">
      <alignment horizontal="center" vertical="center" wrapText="1"/>
    </xf>
    <xf numFmtId="178" fontId="8" fillId="14" borderId="6" xfId="1" applyNumberFormat="1" applyFont="1" applyFill="1" applyBorder="1" applyAlignment="1">
      <alignment horizontal="center" vertical="center" wrapText="1"/>
    </xf>
    <xf numFmtId="0" fontId="8" fillId="14" borderId="6" xfId="65" applyFont="1" applyFill="1" applyBorder="1" applyAlignment="1">
      <alignment horizontal="center" vertical="center" wrapText="1"/>
    </xf>
    <xf numFmtId="180" fontId="8" fillId="14" borderId="6" xfId="65" applyNumberFormat="1" applyFont="1" applyFill="1" applyBorder="1" applyAlignment="1">
      <alignment horizontal="center" vertical="center" wrapText="1"/>
    </xf>
    <xf numFmtId="0" fontId="8" fillId="14" borderId="6" xfId="65" applyFont="1" applyFill="1" applyBorder="1" applyAlignment="1">
      <alignment horizontal="left" vertical="center" wrapText="1"/>
    </xf>
    <xf numFmtId="43" fontId="8" fillId="14" borderId="6" xfId="1" applyFont="1" applyFill="1" applyBorder="1" applyAlignment="1">
      <alignment horizontal="left" vertical="center" wrapText="1"/>
    </xf>
    <xf numFmtId="43" fontId="8" fillId="14" borderId="5" xfId="1" applyFont="1" applyFill="1" applyBorder="1" applyAlignment="1">
      <alignment horizontal="center" vertical="center" wrapText="1"/>
    </xf>
    <xf numFmtId="0" fontId="18" fillId="9" borderId="8" xfId="0" applyFont="1" applyFill="1" applyBorder="1" applyAlignment="1">
      <alignment vertical="top"/>
    </xf>
    <xf numFmtId="181" fontId="18" fillId="9" borderId="8" xfId="0" applyNumberFormat="1" applyFont="1" applyFill="1" applyBorder="1" applyAlignment="1">
      <alignment vertical="top"/>
    </xf>
    <xf numFmtId="4" fontId="19" fillId="9" borderId="45" xfId="0" applyNumberFormat="1" applyFont="1" applyFill="1" applyBorder="1" applyAlignment="1">
      <alignment vertical="top"/>
    </xf>
    <xf numFmtId="39" fontId="1" fillId="9" borderId="8" xfId="60" applyNumberFormat="1" applyFont="1" applyFill="1" applyBorder="1" applyAlignment="1">
      <alignment vertical="center"/>
    </xf>
    <xf numFmtId="0" fontId="20" fillId="9" borderId="8" xfId="0" applyFont="1" applyFill="1" applyBorder="1" applyAlignment="1"/>
    <xf numFmtId="177" fontId="15" fillId="9" borderId="8" xfId="60" applyFont="1" applyFill="1" applyBorder="1" applyAlignment="1">
      <alignment vertical="center"/>
    </xf>
    <xf numFmtId="182" fontId="19" fillId="9" borderId="21" xfId="0" applyNumberFormat="1" applyFont="1" applyFill="1" applyBorder="1"/>
    <xf numFmtId="181" fontId="18" fillId="0" borderId="8" xfId="0" applyNumberFormat="1" applyFont="1" applyFill="1" applyBorder="1" applyAlignment="1">
      <alignment vertical="top"/>
    </xf>
    <xf numFmtId="43" fontId="1" fillId="2" borderId="8" xfId="1" applyFont="1" applyFill="1" applyBorder="1" applyAlignment="1" applyProtection="1"/>
    <xf numFmtId="2" fontId="10" fillId="9" borderId="11" xfId="0" applyNumberFormat="1" applyFont="1" applyFill="1" applyBorder="1" applyAlignment="1">
      <alignment vertical="center"/>
    </xf>
    <xf numFmtId="182" fontId="1" fillId="9" borderId="21" xfId="65" applyNumberFormat="1" applyFont="1" applyFill="1" applyBorder="1" applyAlignment="1">
      <alignment horizontal="right" vertical="center"/>
    </xf>
    <xf numFmtId="181" fontId="21" fillId="9" borderId="11" xfId="63" applyNumberFormat="1" applyFill="1" applyBorder="1" applyAlignment="1"/>
    <xf numFmtId="181" fontId="0" fillId="9" borderId="11" xfId="0" applyNumberFormat="1" applyFill="1" applyBorder="1"/>
    <xf numFmtId="0" fontId="19" fillId="9" borderId="45" xfId="0" applyFont="1" applyFill="1" applyBorder="1" applyAlignment="1">
      <alignment vertical="top"/>
    </xf>
    <xf numFmtId="182" fontId="19" fillId="9" borderId="21" xfId="0" applyNumberFormat="1" applyFont="1" applyFill="1" applyBorder="1" applyAlignment="1">
      <alignment horizontal="right"/>
    </xf>
    <xf numFmtId="181" fontId="0" fillId="9" borderId="11" xfId="0" applyNumberFormat="1" applyFill="1" applyBorder="1" applyAlignment="1">
      <alignment vertical="top"/>
    </xf>
    <xf numFmtId="0" fontId="18" fillId="15" borderId="8" xfId="0" applyFont="1" applyFill="1" applyBorder="1" applyAlignment="1">
      <alignment vertical="top"/>
    </xf>
    <xf numFmtId="181" fontId="18" fillId="15" borderId="8" xfId="0" applyNumberFormat="1" applyFont="1" applyFill="1" applyBorder="1" applyAlignment="1">
      <alignment vertical="top"/>
    </xf>
    <xf numFmtId="4" fontId="19" fillId="15" borderId="45" xfId="0" applyNumberFormat="1" applyFont="1" applyFill="1" applyBorder="1" applyAlignment="1">
      <alignment vertical="top"/>
    </xf>
    <xf numFmtId="39" fontId="1" fillId="15" borderId="8" xfId="60" applyNumberFormat="1" applyFont="1" applyFill="1" applyBorder="1" applyAlignment="1">
      <alignment vertical="center"/>
    </xf>
    <xf numFmtId="0" fontId="20" fillId="15" borderId="8" xfId="0" applyFont="1" applyFill="1" applyBorder="1" applyAlignment="1"/>
    <xf numFmtId="177" fontId="15" fillId="15" borderId="8" xfId="60" applyFont="1" applyFill="1" applyBorder="1" applyAlignment="1">
      <alignment vertical="center"/>
    </xf>
    <xf numFmtId="182" fontId="19" fillId="15" borderId="21" xfId="0" applyNumberFormat="1" applyFont="1" applyFill="1" applyBorder="1"/>
    <xf numFmtId="0" fontId="19" fillId="15" borderId="45" xfId="0" applyFont="1" applyFill="1" applyBorder="1" applyAlignment="1">
      <alignment vertical="top"/>
    </xf>
    <xf numFmtId="182" fontId="1" fillId="15" borderId="21" xfId="65" applyNumberFormat="1" applyFont="1" applyFill="1" applyBorder="1" applyAlignment="1">
      <alignment horizontal="right" vertical="center"/>
    </xf>
    <xf numFmtId="181" fontId="0" fillId="15" borderId="11" xfId="0" applyNumberFormat="1" applyFill="1" applyBorder="1"/>
    <xf numFmtId="182" fontId="19" fillId="15" borderId="21" xfId="0" applyNumberFormat="1" applyFont="1" applyFill="1" applyBorder="1" applyAlignment="1">
      <alignment horizontal="right"/>
    </xf>
    <xf numFmtId="0" fontId="18" fillId="0" borderId="8" xfId="0" applyFont="1" applyFill="1" applyBorder="1" applyAlignment="1">
      <alignment vertical="top"/>
    </xf>
    <xf numFmtId="181" fontId="0" fillId="2" borderId="11" xfId="0" applyNumberFormat="1" applyFill="1" applyBorder="1" applyAlignment="1">
      <alignment vertical="top"/>
    </xf>
    <xf numFmtId="39" fontId="1" fillId="2" borderId="8" xfId="60" applyNumberFormat="1" applyFont="1" applyFill="1" applyBorder="1" applyAlignment="1">
      <alignment vertical="center"/>
    </xf>
    <xf numFmtId="0" fontId="20" fillId="2" borderId="8" xfId="0" applyFont="1" applyFill="1" applyBorder="1" applyAlignment="1"/>
    <xf numFmtId="177" fontId="15" fillId="2" borderId="8" xfId="60" applyFont="1" applyFill="1" applyBorder="1" applyAlignment="1">
      <alignment vertical="center"/>
    </xf>
    <xf numFmtId="182" fontId="19" fillId="2" borderId="21" xfId="0" applyNumberFormat="1" applyFont="1" applyFill="1" applyBorder="1" applyAlignment="1">
      <alignment horizontal="right"/>
    </xf>
    <xf numFmtId="2" fontId="10" fillId="2" borderId="11" xfId="0" applyNumberFormat="1" applyFont="1" applyFill="1" applyBorder="1" applyAlignment="1">
      <alignment vertical="center"/>
    </xf>
    <xf numFmtId="4" fontId="19" fillId="2" borderId="45" xfId="0" applyNumberFormat="1" applyFont="1" applyFill="1" applyBorder="1" applyAlignment="1">
      <alignment vertical="top"/>
    </xf>
    <xf numFmtId="181" fontId="21" fillId="2" borderId="11" xfId="63" applyNumberFormat="1" applyFill="1" applyBorder="1" applyAlignment="1"/>
    <xf numFmtId="181" fontId="0" fillId="2" borderId="11" xfId="0" applyNumberFormat="1" applyFill="1" applyBorder="1"/>
    <xf numFmtId="43" fontId="1" fillId="0" borderId="8" xfId="1" applyFont="1" applyFill="1" applyBorder="1" applyAlignment="1" applyProtection="1"/>
    <xf numFmtId="0" fontId="10" fillId="11" borderId="8" xfId="0" applyFont="1" applyFill="1" applyBorder="1" applyAlignment="1">
      <alignment vertical="top"/>
    </xf>
    <xf numFmtId="181" fontId="10" fillId="11" borderId="8" xfId="0" applyNumberFormat="1" applyFont="1" applyFill="1" applyBorder="1" applyAlignment="1">
      <alignment vertical="top"/>
    </xf>
    <xf numFmtId="2" fontId="10" fillId="11" borderId="8" xfId="0" applyNumberFormat="1" applyFont="1" applyFill="1" applyBorder="1" applyAlignment="1">
      <alignment vertical="center"/>
    </xf>
    <xf numFmtId="39" fontId="1" fillId="11" borderId="8" xfId="60" applyNumberFormat="1" applyFont="1" applyFill="1" applyBorder="1" applyAlignment="1">
      <alignment vertical="center"/>
    </xf>
    <xf numFmtId="180" fontId="10" fillId="11" borderId="8" xfId="0" applyNumberFormat="1" applyFont="1" applyFill="1" applyBorder="1" applyAlignment="1">
      <alignment vertical="top"/>
    </xf>
    <xf numFmtId="43" fontId="1" fillId="11" borderId="8" xfId="1" applyFont="1" applyFill="1" applyBorder="1" applyAlignment="1">
      <alignment horizontal="left" vertical="center"/>
    </xf>
    <xf numFmtId="182" fontId="1" fillId="11" borderId="21" xfId="65" applyNumberFormat="1" applyFont="1" applyFill="1" applyBorder="1" applyAlignment="1">
      <alignment horizontal="right" vertical="center"/>
    </xf>
    <xf numFmtId="0" fontId="1" fillId="11" borderId="21" xfId="65" applyFont="1" applyFill="1" applyBorder="1" applyAlignment="1">
      <alignment horizontal="right" vertical="center"/>
    </xf>
    <xf numFmtId="0" fontId="10" fillId="12" borderId="8" xfId="0" applyFont="1" applyFill="1" applyBorder="1" applyAlignment="1">
      <alignment vertical="top"/>
    </xf>
    <xf numFmtId="181" fontId="10" fillId="12" borderId="8" xfId="0" applyNumberFormat="1" applyFont="1" applyFill="1" applyBorder="1" applyAlignment="1">
      <alignment vertical="top"/>
    </xf>
    <xf numFmtId="39" fontId="1" fillId="12" borderId="8" xfId="60" applyNumberFormat="1" applyFont="1" applyFill="1" applyBorder="1" applyAlignment="1">
      <alignment vertical="center"/>
    </xf>
    <xf numFmtId="180" fontId="10" fillId="12" borderId="8" xfId="0" applyNumberFormat="1" applyFont="1" applyFill="1" applyBorder="1" applyAlignment="1">
      <alignment vertical="top"/>
    </xf>
    <xf numFmtId="177" fontId="22" fillId="12" borderId="8" xfId="60" applyFont="1" applyFill="1" applyBorder="1" applyAlignment="1">
      <alignment vertical="center"/>
    </xf>
    <xf numFmtId="0" fontId="1" fillId="12" borderId="21" xfId="65" applyFont="1" applyFill="1" applyBorder="1" applyAlignment="1">
      <alignment horizontal="right" vertical="center"/>
    </xf>
    <xf numFmtId="0" fontId="16" fillId="12" borderId="8" xfId="67" applyFont="1" applyFill="1" applyBorder="1">
      <alignment vertical="top"/>
    </xf>
    <xf numFmtId="43" fontId="1" fillId="2" borderId="0" xfId="1" applyFont="1" applyFill="1" applyBorder="1" applyAlignment="1" applyProtection="1"/>
    <xf numFmtId="177" fontId="3" fillId="2" borderId="22" xfId="60" applyFont="1" applyFill="1" applyBorder="1"/>
    <xf numFmtId="180" fontId="3" fillId="2" borderId="22" xfId="60" applyNumberFormat="1" applyFont="1" applyFill="1" applyBorder="1"/>
    <xf numFmtId="0" fontId="7" fillId="2" borderId="0" xfId="65" applyFont="1" applyFill="1" applyAlignment="1">
      <alignment horizontal="left"/>
    </xf>
    <xf numFmtId="43" fontId="7" fillId="2" borderId="0" xfId="1" applyFont="1" applyFill="1" applyAlignment="1">
      <alignment horizontal="left"/>
    </xf>
    <xf numFmtId="0" fontId="7" fillId="2" borderId="0" xfId="65" applyFont="1" applyFill="1" applyAlignment="1">
      <alignment horizontal="center"/>
    </xf>
    <xf numFmtId="2" fontId="10" fillId="2" borderId="46" xfId="0" applyNumberFormat="1" applyFont="1" applyFill="1" applyBorder="1" applyAlignment="1">
      <alignment vertical="center"/>
    </xf>
    <xf numFmtId="177" fontId="0" fillId="2" borderId="47" xfId="60" applyFont="1" applyFill="1" applyBorder="1"/>
    <xf numFmtId="177" fontId="0" fillId="2" borderId="0" xfId="60" applyFont="1" applyFill="1" applyBorder="1"/>
    <xf numFmtId="43" fontId="0" fillId="0" borderId="0" xfId="0" applyNumberFormat="1" applyAlignment="1">
      <alignment vertical="top"/>
    </xf>
    <xf numFmtId="178" fontId="3" fillId="3" borderId="48" xfId="1" applyNumberFormat="1" applyFont="1" applyFill="1" applyBorder="1" applyAlignment="1">
      <alignment horizontal="center" vertical="center"/>
    </xf>
    <xf numFmtId="177" fontId="0" fillId="2" borderId="8" xfId="59" applyFont="1" applyFill="1" applyBorder="1"/>
    <xf numFmtId="0" fontId="1" fillId="2" borderId="8" xfId="64" applyFont="1" applyFill="1" applyBorder="1" applyAlignment="1">
      <alignment horizontal="center"/>
    </xf>
    <xf numFmtId="178" fontId="10" fillId="2" borderId="8" xfId="1" applyNumberFormat="1" applyFont="1" applyFill="1" applyBorder="1" applyAlignment="1">
      <alignment vertical="top"/>
    </xf>
    <xf numFmtId="178" fontId="1" fillId="2" borderId="8" xfId="1" applyNumberFormat="1" applyFont="1" applyFill="1" applyBorder="1" applyAlignment="1">
      <alignment horizontal="center"/>
    </xf>
    <xf numFmtId="178" fontId="10" fillId="0" borderId="8" xfId="1" applyNumberFormat="1" applyFont="1" applyFill="1" applyBorder="1" applyAlignment="1">
      <alignment vertical="top"/>
    </xf>
    <xf numFmtId="0" fontId="1" fillId="2" borderId="0" xfId="64" applyFont="1" applyFill="1" applyAlignment="1">
      <alignment horizontal="center"/>
    </xf>
    <xf numFmtId="178" fontId="0" fillId="2" borderId="22" xfId="1" applyNumberFormat="1" applyFont="1" applyFill="1" applyBorder="1" applyAlignment="1">
      <alignment wrapText="1"/>
    </xf>
    <xf numFmtId="178" fontId="10" fillId="2" borderId="22" xfId="1" applyNumberFormat="1" applyFont="1" applyFill="1" applyBorder="1" applyAlignment="1">
      <alignment vertical="top"/>
    </xf>
    <xf numFmtId="178" fontId="1" fillId="2" borderId="22" xfId="1" applyNumberFormat="1" applyFont="1" applyFill="1" applyBorder="1" applyAlignment="1">
      <alignment vertical="center"/>
    </xf>
    <xf numFmtId="178" fontId="1" fillId="2" borderId="22" xfId="1" applyNumberFormat="1" applyFont="1" applyFill="1" applyBorder="1" applyAlignment="1">
      <alignment horizontal="center"/>
    </xf>
    <xf numFmtId="0" fontId="1" fillId="0" borderId="0" xfId="64" applyFont="1" applyAlignment="1">
      <alignment wrapText="1"/>
    </xf>
    <xf numFmtId="43" fontId="1" fillId="2" borderId="0" xfId="1" applyFont="1" applyFill="1" applyAlignment="1">
      <alignment wrapText="1"/>
    </xf>
    <xf numFmtId="43" fontId="1" fillId="2" borderId="0" xfId="1" applyFont="1" applyFill="1" applyBorder="1" applyAlignment="1">
      <alignment wrapText="1"/>
    </xf>
    <xf numFmtId="178" fontId="10" fillId="7" borderId="8" xfId="1" applyNumberFormat="1" applyFont="1" applyFill="1" applyBorder="1" applyAlignment="1">
      <alignment vertical="top"/>
    </xf>
    <xf numFmtId="178" fontId="1" fillId="7" borderId="8" xfId="1" applyNumberFormat="1" applyFont="1" applyFill="1" applyBorder="1" applyAlignment="1">
      <alignment vertical="center"/>
    </xf>
    <xf numFmtId="178" fontId="1" fillId="7" borderId="8" xfId="1" applyNumberFormat="1" applyFont="1" applyFill="1" applyBorder="1" applyAlignment="1">
      <alignment horizontal="center"/>
    </xf>
    <xf numFmtId="0" fontId="1" fillId="7" borderId="8" xfId="64" applyFont="1" applyFill="1" applyBorder="1" applyAlignment="1">
      <alignment wrapText="1"/>
    </xf>
    <xf numFmtId="178" fontId="10" fillId="7" borderId="8" xfId="1" applyNumberFormat="1" applyFont="1" applyFill="1" applyBorder="1" applyAlignment="1">
      <alignment horizontal="center" vertical="center"/>
    </xf>
    <xf numFmtId="178" fontId="1" fillId="7" borderId="8" xfId="1" applyNumberFormat="1" applyFont="1" applyFill="1" applyBorder="1" applyAlignment="1">
      <alignment horizontal="center" vertical="center"/>
    </xf>
    <xf numFmtId="0" fontId="0" fillId="2" borderId="0" xfId="0" applyFill="1" applyAlignment="1">
      <alignment horizontal="left" vertical="center"/>
    </xf>
    <xf numFmtId="0" fontId="14" fillId="2" borderId="0" xfId="0" applyFont="1" applyFill="1" applyAlignment="1">
      <alignment vertical="center"/>
    </xf>
    <xf numFmtId="0" fontId="0" fillId="2" borderId="0" xfId="0" applyFill="1" applyAlignment="1">
      <alignment vertical="center" wrapText="1"/>
    </xf>
    <xf numFmtId="0" fontId="23" fillId="0" borderId="0" xfId="0" applyFont="1"/>
    <xf numFmtId="0" fontId="8" fillId="5" borderId="19" xfId="0" applyFont="1" applyFill="1" applyBorder="1" applyAlignment="1">
      <alignment horizontal="center" vertical="center"/>
    </xf>
    <xf numFmtId="0" fontId="1" fillId="2" borderId="8" xfId="0" applyFont="1" applyFill="1" applyBorder="1" applyAlignment="1">
      <alignment vertical="center"/>
    </xf>
    <xf numFmtId="43" fontId="0" fillId="2" borderId="8" xfId="1" applyFont="1" applyFill="1" applyBorder="1"/>
    <xf numFmtId="178" fontId="11" fillId="2" borderId="8" xfId="1" applyNumberFormat="1" applyFont="1" applyFill="1" applyBorder="1"/>
    <xf numFmtId="0" fontId="14" fillId="2" borderId="8" xfId="0" applyFont="1" applyFill="1" applyBorder="1" applyAlignment="1">
      <alignment horizontal="left"/>
    </xf>
    <xf numFmtId="0" fontId="11" fillId="2" borderId="8" xfId="0" applyFont="1" applyFill="1" applyBorder="1" applyAlignment="1">
      <alignment horizontal="left"/>
    </xf>
    <xf numFmtId="0" fontId="7" fillId="5" borderId="23" xfId="0" applyFont="1" applyFill="1" applyBorder="1" applyAlignment="1">
      <alignment horizontal="center" vertical="center" wrapText="1"/>
    </xf>
    <xf numFmtId="0" fontId="14" fillId="2" borderId="21" xfId="1" applyNumberFormat="1" applyFont="1" applyFill="1" applyBorder="1" applyAlignment="1">
      <alignment horizontal="left" vertical="center" wrapText="1"/>
    </xf>
    <xf numFmtId="0" fontId="14" fillId="2" borderId="11" xfId="1" applyNumberFormat="1" applyFont="1" applyFill="1" applyBorder="1" applyAlignment="1">
      <alignment horizontal="left" vertical="center" wrapText="1"/>
    </xf>
    <xf numFmtId="43" fontId="0" fillId="2" borderId="0" xfId="1" applyFont="1" applyFill="1" applyAlignment="1">
      <alignment vertical="center"/>
    </xf>
    <xf numFmtId="0" fontId="14" fillId="2" borderId="8" xfId="0" applyFont="1" applyFill="1" applyBorder="1" applyAlignment="1">
      <alignment horizontal="left" vertical="center"/>
    </xf>
    <xf numFmtId="0" fontId="11" fillId="2" borderId="21" xfId="1" applyNumberFormat="1" applyFont="1" applyFill="1" applyBorder="1" applyAlignment="1">
      <alignment horizontal="left" vertical="center" wrapText="1"/>
    </xf>
    <xf numFmtId="0" fontId="11" fillId="2" borderId="11" xfId="1" applyNumberFormat="1" applyFont="1" applyFill="1" applyBorder="1" applyAlignment="1">
      <alignment horizontal="left" vertical="center" wrapText="1"/>
    </xf>
    <xf numFmtId="0" fontId="1" fillId="2" borderId="8" xfId="0" applyFont="1" applyFill="1" applyBorder="1" applyAlignment="1">
      <alignment vertical="center" wrapText="1"/>
    </xf>
    <xf numFmtId="178" fontId="0" fillId="2" borderId="8" xfId="1" applyNumberFormat="1" applyFont="1" applyFill="1" applyBorder="1" applyAlignment="1">
      <alignment vertical="center" wrapText="1"/>
    </xf>
    <xf numFmtId="43" fontId="0" fillId="2" borderId="8" xfId="1" applyFont="1" applyFill="1" applyBorder="1" applyAlignment="1">
      <alignment vertical="center" wrapText="1"/>
    </xf>
    <xf numFmtId="0" fontId="1" fillId="2" borderId="8" xfId="0" applyFont="1" applyFill="1" applyBorder="1" applyAlignment="1">
      <alignment horizontal="left" vertical="center"/>
    </xf>
    <xf numFmtId="0" fontId="11" fillId="2" borderId="8" xfId="0" applyFont="1" applyFill="1" applyBorder="1" applyAlignment="1">
      <alignment horizontal="left" vertical="center"/>
    </xf>
    <xf numFmtId="43" fontId="0" fillId="2" borderId="8" xfId="1" applyFont="1" applyFill="1" applyBorder="1" applyAlignment="1">
      <alignment horizontal="left" vertical="center"/>
    </xf>
    <xf numFmtId="178" fontId="14" fillId="2" borderId="8" xfId="1" applyNumberFormat="1" applyFont="1" applyFill="1" applyBorder="1"/>
    <xf numFmtId="178" fontId="0" fillId="0" borderId="49" xfId="0" applyNumberFormat="1" applyBorder="1" applyAlignment="1">
      <alignment vertical="center"/>
    </xf>
    <xf numFmtId="177" fontId="0" fillId="0" borderId="0" xfId="0" applyNumberFormat="1" applyAlignment="1">
      <alignment vertical="center"/>
    </xf>
    <xf numFmtId="0" fontId="8" fillId="5" borderId="28" xfId="0" applyFont="1" applyFill="1" applyBorder="1" applyAlignment="1">
      <alignment horizontal="center" vertical="center"/>
    </xf>
    <xf numFmtId="0" fontId="8" fillId="5" borderId="24" xfId="0" applyFont="1" applyFill="1" applyBorder="1" applyAlignment="1">
      <alignment horizontal="center" vertical="center"/>
    </xf>
    <xf numFmtId="0" fontId="8" fillId="5" borderId="25" xfId="0" applyFont="1" applyFill="1" applyBorder="1" applyAlignment="1">
      <alignment horizontal="center" vertical="center"/>
    </xf>
    <xf numFmtId="0" fontId="1" fillId="2" borderId="8" xfId="0" applyFont="1" applyFill="1" applyBorder="1" applyAlignment="1">
      <alignment horizontal="center" vertical="center"/>
    </xf>
    <xf numFmtId="43" fontId="14" fillId="2" borderId="8" xfId="1" applyFont="1" applyFill="1" applyBorder="1" applyAlignment="1">
      <alignment vertical="center"/>
    </xf>
    <xf numFmtId="0" fontId="0" fillId="2" borderId="8" xfId="0" applyFill="1" applyBorder="1" applyAlignment="1">
      <alignment horizontal="center"/>
    </xf>
    <xf numFmtId="0" fontId="0" fillId="0" borderId="0" xfId="0" applyAlignment="1">
      <alignment horizontal="center" vertical="center"/>
    </xf>
    <xf numFmtId="178" fontId="3" fillId="0" borderId="49" xfId="1" applyNumberFormat="1" applyFont="1" applyFill="1" applyBorder="1" applyAlignment="1">
      <alignment vertical="center"/>
    </xf>
    <xf numFmtId="43" fontId="11" fillId="0" borderId="0" xfId="1" applyFont="1" applyFill="1" applyBorder="1" applyAlignment="1">
      <alignment vertical="center"/>
    </xf>
    <xf numFmtId="0" fontId="11" fillId="0" borderId="0" xfId="0" applyFont="1" applyAlignment="1">
      <alignment horizontal="left" vertical="center" wrapText="1"/>
    </xf>
    <xf numFmtId="43" fontId="0" fillId="0" borderId="0" xfId="1" applyFont="1" applyFill="1" applyBorder="1" applyAlignment="1">
      <alignment vertical="center"/>
    </xf>
    <xf numFmtId="0" fontId="0" fillId="9" borderId="0" xfId="0" applyFill="1" applyAlignment="1">
      <alignment vertical="center"/>
    </xf>
    <xf numFmtId="0" fontId="0" fillId="9" borderId="0" xfId="0" applyFill="1"/>
    <xf numFmtId="0" fontId="8" fillId="5" borderId="23" xfId="0" applyFont="1" applyFill="1" applyBorder="1" applyAlignment="1">
      <alignment horizontal="center" vertical="center"/>
    </xf>
    <xf numFmtId="0" fontId="8" fillId="5" borderId="0" xfId="0" applyFont="1" applyFill="1" applyAlignment="1">
      <alignment horizontal="center" vertical="center"/>
    </xf>
    <xf numFmtId="43" fontId="8" fillId="5" borderId="0" xfId="1" applyFont="1" applyFill="1" applyBorder="1" applyAlignment="1">
      <alignment horizontal="center" vertical="center" wrapText="1"/>
    </xf>
    <xf numFmtId="178" fontId="1" fillId="2" borderId="8" xfId="1" applyNumberFormat="1" applyFont="1" applyFill="1" applyBorder="1"/>
    <xf numFmtId="0" fontId="14" fillId="2" borderId="21" xfId="0" applyFont="1" applyFill="1" applyBorder="1" applyAlignment="1">
      <alignment horizontal="left"/>
    </xf>
    <xf numFmtId="0" fontId="14" fillId="2" borderId="11" xfId="0" applyFont="1" applyFill="1" applyBorder="1" applyAlignment="1">
      <alignment horizontal="left"/>
    </xf>
    <xf numFmtId="178" fontId="0" fillId="0" borderId="0" xfId="1" applyNumberFormat="1" applyFont="1" applyFill="1" applyBorder="1" applyAlignment="1"/>
    <xf numFmtId="178" fontId="14" fillId="0" borderId="8" xfId="1" applyNumberFormat="1" applyFont="1" applyFill="1" applyBorder="1"/>
    <xf numFmtId="178" fontId="3" fillId="0" borderId="49" xfId="1" applyNumberFormat="1" applyFont="1" applyFill="1" applyBorder="1"/>
    <xf numFmtId="178" fontId="11" fillId="0" borderId="0" xfId="1" applyNumberFormat="1" applyFont="1" applyFill="1" applyBorder="1"/>
    <xf numFmtId="178" fontId="0" fillId="0" borderId="0" xfId="1" applyNumberFormat="1" applyFont="1" applyFill="1" applyBorder="1"/>
    <xf numFmtId="43" fontId="8" fillId="5" borderId="26" xfId="1" applyFont="1" applyFill="1" applyBorder="1" applyAlignment="1">
      <alignment horizontal="center" vertical="center" wrapText="1"/>
    </xf>
    <xf numFmtId="58" fontId="7" fillId="5" borderId="0" xfId="1" applyNumberFormat="1" applyFont="1" applyFill="1" applyBorder="1" applyAlignment="1">
      <alignment horizontal="center" vertical="center" wrapText="1"/>
    </xf>
    <xf numFmtId="178" fontId="11" fillId="0" borderId="8" xfId="0" applyNumberFormat="1" applyFont="1" applyBorder="1" applyAlignment="1">
      <alignment horizontal="center"/>
    </xf>
    <xf numFmtId="178" fontId="1" fillId="2" borderId="8" xfId="0" applyNumberFormat="1" applyFont="1" applyFill="1" applyBorder="1" applyAlignment="1">
      <alignment horizontal="center"/>
    </xf>
    <xf numFmtId="178" fontId="14" fillId="0" borderId="8" xfId="0" applyNumberFormat="1" applyFont="1" applyBorder="1" applyAlignment="1">
      <alignment horizontal="center"/>
    </xf>
    <xf numFmtId="0" fontId="1" fillId="2" borderId="8" xfId="0" applyFont="1" applyFill="1" applyBorder="1"/>
    <xf numFmtId="178" fontId="11" fillId="2" borderId="8" xfId="0" applyNumberFormat="1" applyFont="1" applyFill="1" applyBorder="1" applyAlignment="1">
      <alignment horizontal="center"/>
    </xf>
    <xf numFmtId="178" fontId="3" fillId="0" borderId="49" xfId="1" applyNumberFormat="1" applyFont="1" applyFill="1" applyBorder="1" applyAlignment="1">
      <alignment horizontal="center" vertical="center"/>
    </xf>
    <xf numFmtId="178" fontId="14" fillId="0" borderId="0" xfId="0" applyNumberFormat="1" applyFont="1" applyAlignment="1">
      <alignment horizontal="center"/>
    </xf>
    <xf numFmtId="178" fontId="0" fillId="0" borderId="0" xfId="1" applyNumberFormat="1" applyFont="1" applyFill="1" applyBorder="1" applyAlignment="1">
      <alignment horizontal="center"/>
    </xf>
    <xf numFmtId="0" fontId="14" fillId="0" borderId="0" xfId="0" applyFont="1" applyAlignment="1">
      <alignment horizontal="left"/>
    </xf>
    <xf numFmtId="0" fontId="8" fillId="0" borderId="0" xfId="0" applyFont="1"/>
    <xf numFmtId="177" fontId="0" fillId="2" borderId="8" xfId="0" applyNumberFormat="1" applyFill="1" applyBorder="1" applyAlignment="1">
      <alignment horizontal="center" vertical="center"/>
    </xf>
    <xf numFmtId="43" fontId="11" fillId="2" borderId="50" xfId="1" applyFont="1" applyFill="1" applyBorder="1" applyAlignment="1">
      <alignment horizontal="left" vertical="center" wrapText="1"/>
    </xf>
    <xf numFmtId="43" fontId="11" fillId="2" borderId="46" xfId="1" applyFont="1" applyFill="1" applyBorder="1" applyAlignment="1">
      <alignment horizontal="left" vertical="center" wrapText="1"/>
    </xf>
    <xf numFmtId="178" fontId="0" fillId="9" borderId="0" xfId="1" applyNumberFormat="1" applyFont="1" applyFill="1" applyBorder="1" applyAlignment="1">
      <alignment horizontal="left" vertical="center" wrapText="1"/>
    </xf>
    <xf numFmtId="43" fontId="11" fillId="2" borderId="28" xfId="1" applyFont="1" applyFill="1" applyBorder="1" applyAlignment="1">
      <alignment horizontal="left" vertical="center" wrapText="1"/>
    </xf>
    <xf numFmtId="43" fontId="11" fillId="2" borderId="24" xfId="1" applyFont="1" applyFill="1" applyBorder="1" applyAlignment="1">
      <alignment horizontal="left" vertical="center" wrapText="1"/>
    </xf>
    <xf numFmtId="43" fontId="11" fillId="2" borderId="21" xfId="1" applyFont="1" applyFill="1" applyBorder="1" applyAlignment="1">
      <alignment horizontal="left" vertical="center"/>
    </xf>
    <xf numFmtId="43" fontId="11" fillId="2" borderId="26" xfId="1" applyFont="1" applyFill="1" applyBorder="1" applyAlignment="1">
      <alignment horizontal="left" vertical="center"/>
    </xf>
    <xf numFmtId="0" fontId="1" fillId="0" borderId="0" xfId="0" applyFont="1" applyAlignment="1">
      <alignment vertical="center"/>
    </xf>
    <xf numFmtId="177" fontId="0" fillId="0" borderId="0" xfId="0" applyNumberFormat="1" applyAlignment="1">
      <alignment horizontal="center" vertical="center"/>
    </xf>
    <xf numFmtId="43" fontId="0" fillId="0" borderId="0" xfId="1" applyFont="1" applyFill="1" applyBorder="1" applyAlignment="1">
      <alignment horizontal="left" vertical="center"/>
    </xf>
    <xf numFmtId="43" fontId="0" fillId="0" borderId="0" xfId="0" applyNumberFormat="1"/>
    <xf numFmtId="43" fontId="24" fillId="0" borderId="0" xfId="1" applyFont="1" applyAlignment="1">
      <alignment horizontal="center"/>
    </xf>
    <xf numFmtId="0" fontId="3" fillId="0" borderId="0" xfId="0" applyFont="1"/>
    <xf numFmtId="43" fontId="3" fillId="0" borderId="0" xfId="1" applyFont="1" applyFill="1"/>
    <xf numFmtId="43" fontId="3" fillId="0" borderId="0" xfId="1" applyFont="1" applyFill="1" applyBorder="1"/>
    <xf numFmtId="43" fontId="3" fillId="0" borderId="2" xfId="1" applyFont="1" applyFill="1" applyBorder="1"/>
    <xf numFmtId="43" fontId="3" fillId="0" borderId="34" xfId="1" applyFont="1" applyFill="1" applyBorder="1"/>
    <xf numFmtId="43" fontId="3" fillId="0" borderId="13" xfId="1" applyFont="1" applyFill="1" applyBorder="1"/>
    <xf numFmtId="0" fontId="3" fillId="0" borderId="26" xfId="0" applyFont="1" applyBorder="1"/>
    <xf numFmtId="43" fontId="0" fillId="0" borderId="24" xfId="1" applyFont="1" applyBorder="1"/>
    <xf numFmtId="43" fontId="25" fillId="0" borderId="0" xfId="1" applyFont="1"/>
    <xf numFmtId="43" fontId="24" fillId="0" borderId="0" xfId="1" applyFont="1" applyAlignment="1" quotePrefix="1">
      <alignment horizontal="center"/>
    </xf>
    <xf numFmtId="49" fontId="0" fillId="4" borderId="10" xfId="0" applyNumberFormat="1" applyFill="1" applyBorder="1" applyAlignment="1" quotePrefix="1">
      <alignment vertical="center"/>
    </xf>
    <xf numFmtId="177" fontId="0" fillId="0" borderId="8" xfId="0" applyNumberFormat="1" applyBorder="1" applyAlignment="1" quotePrefix="1">
      <alignment horizontal="center"/>
    </xf>
    <xf numFmtId="43" fontId="0" fillId="0" borderId="8" xfId="0" applyNumberFormat="1" applyBorder="1" applyAlignment="1" quotePrefix="1">
      <alignment horizontal="center"/>
    </xf>
    <xf numFmtId="0" fontId="0" fillId="0" borderId="8" xfId="0" applyBorder="1" applyAlignment="1" quotePrefix="1">
      <alignment horizontal="center"/>
    </xf>
    <xf numFmtId="177" fontId="1" fillId="0" borderId="8" xfId="0" applyNumberFormat="1" applyFont="1" applyBorder="1" applyAlignment="1" quotePrefix="1">
      <alignment horizontal="center"/>
    </xf>
    <xf numFmtId="43" fontId="1" fillId="0" borderId="8" xfId="0" applyNumberFormat="1" applyFont="1" applyBorder="1" applyAlignment="1" quotePrefix="1">
      <alignment horizontal="center"/>
    </xf>
    <xf numFmtId="0" fontId="1" fillId="0" borderId="8" xfId="0" applyFont="1" applyBorder="1" applyAlignment="1" quotePrefix="1">
      <alignment horizontal="center"/>
    </xf>
  </cellXfs>
  <cellStyles count="6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60% - Accent1 2" xfId="49"/>
    <cellStyle name="60% - Accent2 2" xfId="50"/>
    <cellStyle name="60% - Accent3 2" xfId="51"/>
    <cellStyle name="60% - Accent4 2" xfId="52"/>
    <cellStyle name="60% - Accent5 2" xfId="53"/>
    <cellStyle name="60% - Accent6 2" xfId="54"/>
    <cellStyle name="Comma 10" xfId="55"/>
    <cellStyle name="Comma 12" xfId="56"/>
    <cellStyle name="Comma 2" xfId="57"/>
    <cellStyle name="Comma 2 2" xfId="58"/>
    <cellStyle name="Comma 7" xfId="59"/>
    <cellStyle name="Comma 7 10" xfId="60"/>
    <cellStyle name="Comma 7 2" xfId="61"/>
    <cellStyle name="Neutral 2" xfId="62"/>
    <cellStyle name="Normal 11" xfId="63"/>
    <cellStyle name="Normal 6" xfId="64"/>
    <cellStyle name="Normal 6 2" xfId="65"/>
    <cellStyle name="Normal 8 4 2" xfId="66"/>
    <cellStyle name="Normal 8 4 2 2" xfId="67"/>
    <cellStyle name="Title 2" xfId="68"/>
  </cellStyles>
  <dxfs count="2">
    <dxf>
      <font>
        <b val="1"/>
        <i val="0"/>
        <color rgb="FF00B050"/>
      </font>
    </dxf>
    <dxf>
      <font>
        <b val="1"/>
        <i val="0"/>
        <color rgb="FFFF0000"/>
      </font>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aredStrings" Target="sharedStrings.xml"/><Relationship Id="rId23" Type="http://schemas.openxmlformats.org/officeDocument/2006/relationships/theme" Target="theme/theme1.xml"/><Relationship Id="rId22" Type="http://schemas.openxmlformats.org/officeDocument/2006/relationships/customXml" Target="../customXml/item3.xml"/><Relationship Id="rId21" Type="http://schemas.openxmlformats.org/officeDocument/2006/relationships/customXml" Target="../customXml/item2.xml"/><Relationship Id="rId20" Type="http://schemas.openxmlformats.org/officeDocument/2006/relationships/customXml" Target="../customXml/item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2:N16"/>
  <sheetViews>
    <sheetView workbookViewId="0">
      <pane xSplit="1" topLeftCell="B1" activePane="topRight" state="frozen"/>
      <selection/>
      <selection pane="topRight" activeCell="A1" sqref="A1"/>
    </sheetView>
  </sheetViews>
  <sheetFormatPr defaultColWidth="9" defaultRowHeight="14.4"/>
  <cols>
    <col min="1" max="1" width="16" customWidth="1"/>
    <col min="2" max="2" width="12.8796296296296" style="100" customWidth="1"/>
    <col min="3" max="3" width="13.25" style="100" customWidth="1"/>
    <col min="4" max="4" width="14" style="100" customWidth="1"/>
    <col min="5" max="5" width="13.25" style="100" customWidth="1"/>
    <col min="6" max="6" width="12.25" style="100" customWidth="1"/>
    <col min="7" max="8" width="13.25" style="100" customWidth="1"/>
    <col min="9" max="9" width="14" style="100" customWidth="1"/>
    <col min="10" max="10" width="11.25" customWidth="1"/>
    <col min="11" max="11" width="14" style="100" customWidth="1"/>
    <col min="12" max="12" width="14.3703703703704" customWidth="1"/>
    <col min="13" max="13" width="11.6296296296296" customWidth="1"/>
    <col min="14" max="14" width="11.3703703703704" customWidth="1"/>
  </cols>
  <sheetData>
    <row r="2" ht="16.2" spans="1:14">
      <c r="B2" s="567" t="s">
        <v>0</v>
      </c>
      <c r="C2" s="577" t="s">
        <v>1</v>
      </c>
      <c r="D2" s="567"/>
      <c r="E2" s="577" t="s">
        <v>2</v>
      </c>
      <c r="F2" s="567"/>
      <c r="G2" s="577" t="s">
        <v>3</v>
      </c>
      <c r="H2" s="567"/>
      <c r="I2" s="577" t="s">
        <v>4</v>
      </c>
      <c r="K2" s="577" t="s">
        <v>5</v>
      </c>
    </row>
    <row r="3" ht="15.15" spans="1:14">
      <c r="J3" s="568"/>
      <c r="L3" s="568"/>
    </row>
    <row r="4" spans="1:14">
      <c r="A4" t="s">
        <v>6</v>
      </c>
      <c r="B4" s="100">
        <v>300308.98</v>
      </c>
      <c r="C4" s="100">
        <v>310245.96</v>
      </c>
      <c r="D4" s="569">
        <f>C4-B4</f>
        <v>9936.98000000004</v>
      </c>
      <c r="E4" s="102">
        <v>300308.98</v>
      </c>
      <c r="F4" s="570">
        <f>E4-C4</f>
        <v>-9936.98000000004</v>
      </c>
      <c r="G4" s="102">
        <v>306717.98</v>
      </c>
      <c r="H4" s="570">
        <f>G4-E4</f>
        <v>6409</v>
      </c>
      <c r="I4" s="102">
        <v>308023.68</v>
      </c>
      <c r="J4" s="570">
        <f>I4-G4</f>
        <v>1305.70000000001</v>
      </c>
      <c r="K4" s="102" t="e">
        <f>#REF!</f>
        <v>#REF!</v>
      </c>
      <c r="L4" s="571" t="e">
        <f>K4-I4</f>
        <v>#REF!</v>
      </c>
    </row>
    <row r="5" spans="1:14">
      <c r="A5" t="s">
        <v>7</v>
      </c>
      <c r="B5" s="100">
        <v>577968.66</v>
      </c>
      <c r="C5" s="100">
        <v>527847.26</v>
      </c>
      <c r="D5" s="569">
        <f t="shared" ref="D5:D10" si="0">C5-B5</f>
        <v>-50121.4</v>
      </c>
      <c r="E5" s="102">
        <v>491962.62</v>
      </c>
      <c r="F5" s="570">
        <f t="shared" ref="F5:L10" si="1">E5-C5</f>
        <v>-35884.64</v>
      </c>
      <c r="G5" s="102">
        <v>487674.53</v>
      </c>
      <c r="H5" s="570">
        <f t="shared" si="1"/>
        <v>-4288.08999999997</v>
      </c>
      <c r="I5" s="102">
        <v>486892.21</v>
      </c>
      <c r="J5" s="570">
        <f t="shared" si="1"/>
        <v>-782.320000000007</v>
      </c>
      <c r="K5" s="102" t="e">
        <f>#REF!</f>
        <v>#REF!</v>
      </c>
      <c r="L5" s="572" t="e">
        <f t="shared" si="1"/>
        <v>#REF!</v>
      </c>
      <c r="M5" s="244" t="s">
        <v>8</v>
      </c>
      <c r="N5" s="244" t="s">
        <v>9</v>
      </c>
    </row>
    <row r="6" spans="1:14">
      <c r="A6" t="s">
        <v>10</v>
      </c>
      <c r="B6" s="100">
        <v>258848.31</v>
      </c>
      <c r="C6" s="100">
        <v>439202.09</v>
      </c>
      <c r="D6" s="569">
        <f t="shared" si="0"/>
        <v>180353.78</v>
      </c>
      <c r="E6" s="102">
        <v>387694.29</v>
      </c>
      <c r="F6" s="570">
        <f t="shared" si="1"/>
        <v>-51507.8</v>
      </c>
      <c r="G6" s="102">
        <v>380125.01</v>
      </c>
      <c r="H6" s="570">
        <f t="shared" si="1"/>
        <v>-7569.27999999997</v>
      </c>
      <c r="I6" s="102">
        <v>320370</v>
      </c>
      <c r="J6" s="570">
        <f t="shared" si="1"/>
        <v>-59755.01</v>
      </c>
      <c r="K6" s="102" t="e">
        <f>#REF!</f>
        <v>#REF!</v>
      </c>
      <c r="L6" s="572" t="e">
        <f t="shared" si="1"/>
        <v>#REF!</v>
      </c>
      <c r="M6" s="100">
        <v>300425</v>
      </c>
      <c r="N6" s="182" t="e">
        <f>M6-L6</f>
        <v>#REF!</v>
      </c>
    </row>
    <row r="7" spans="1:14">
      <c r="A7" t="s">
        <v>11</v>
      </c>
      <c r="B7" s="100">
        <v>185901.24</v>
      </c>
      <c r="C7" s="100">
        <v>395665.81</v>
      </c>
      <c r="D7" s="569">
        <f t="shared" si="0"/>
        <v>209764.57</v>
      </c>
      <c r="E7" s="102">
        <v>290667.29</v>
      </c>
      <c r="F7" s="570">
        <f t="shared" si="1"/>
        <v>-104998.52</v>
      </c>
      <c r="G7" s="102">
        <v>297035.85</v>
      </c>
      <c r="H7" s="570">
        <f t="shared" si="1"/>
        <v>6368.56</v>
      </c>
      <c r="I7" s="102">
        <v>293607.96</v>
      </c>
      <c r="J7" s="570">
        <f t="shared" si="1"/>
        <v>-3427.88999999996</v>
      </c>
      <c r="K7" s="102" t="e">
        <f>#REF!</f>
        <v>#REF!</v>
      </c>
      <c r="L7" s="572" t="e">
        <f t="shared" si="1"/>
        <v>#REF!</v>
      </c>
    </row>
    <row r="8" spans="1:14">
      <c r="A8" t="s">
        <v>12</v>
      </c>
      <c r="B8" s="100">
        <v>118342.86</v>
      </c>
      <c r="C8" s="100">
        <v>2168844.8</v>
      </c>
      <c r="D8" s="569">
        <f t="shared" si="0"/>
        <v>2050501.94</v>
      </c>
      <c r="E8" s="102">
        <v>2319706.09</v>
      </c>
      <c r="F8" s="570">
        <f t="shared" si="1"/>
        <v>150861.29</v>
      </c>
      <c r="G8" s="102">
        <v>2284202.18</v>
      </c>
      <c r="H8" s="570">
        <f t="shared" si="1"/>
        <v>-35503.9099999997</v>
      </c>
      <c r="I8" s="102">
        <v>2227848.28</v>
      </c>
      <c r="J8" s="570">
        <f t="shared" si="1"/>
        <v>-56353.9000000004</v>
      </c>
      <c r="K8" s="102" t="e">
        <f>#REF!</f>
        <v>#REF!</v>
      </c>
      <c r="L8" s="572" t="e">
        <f t="shared" si="1"/>
        <v>#REF!</v>
      </c>
    </row>
    <row r="9" spans="1:14">
      <c r="A9" t="s">
        <v>13</v>
      </c>
      <c r="B9" s="100">
        <v>0</v>
      </c>
      <c r="C9" s="100">
        <v>0</v>
      </c>
      <c r="D9" s="569">
        <f t="shared" si="0"/>
        <v>0</v>
      </c>
      <c r="E9" s="102">
        <v>0</v>
      </c>
      <c r="F9" s="570">
        <f t="shared" si="1"/>
        <v>0</v>
      </c>
      <c r="G9" s="102">
        <v>0</v>
      </c>
      <c r="H9" s="570">
        <f t="shared" si="1"/>
        <v>0</v>
      </c>
      <c r="I9" s="102">
        <v>0</v>
      </c>
      <c r="J9" s="570">
        <f t="shared" si="1"/>
        <v>0</v>
      </c>
      <c r="K9" s="102"/>
      <c r="L9" s="572">
        <f t="shared" si="1"/>
        <v>0</v>
      </c>
    </row>
    <row r="10" ht="15.15" spans="1:14">
      <c r="A10" t="s">
        <v>14</v>
      </c>
      <c r="B10" s="100">
        <v>1329128.61</v>
      </c>
      <c r="C10" s="100">
        <v>1600410.16</v>
      </c>
      <c r="D10" s="569">
        <f t="shared" si="0"/>
        <v>271281.55</v>
      </c>
      <c r="E10" s="102">
        <v>1274250.9</v>
      </c>
      <c r="F10" s="570">
        <f t="shared" si="1"/>
        <v>-326159.26</v>
      </c>
      <c r="G10" s="102">
        <v>1044622.83</v>
      </c>
      <c r="H10" s="570">
        <f t="shared" si="1"/>
        <v>-229628.07</v>
      </c>
      <c r="I10" s="102">
        <v>1129809.82</v>
      </c>
      <c r="J10" s="570">
        <f t="shared" si="1"/>
        <v>85186.9900000001</v>
      </c>
      <c r="K10" s="102" t="e">
        <f>#REF!</f>
        <v>#REF!</v>
      </c>
      <c r="L10" s="573" t="e">
        <f t="shared" si="1"/>
        <v>#REF!</v>
      </c>
    </row>
    <row r="11" spans="1:14">
      <c r="B11" s="319">
        <f>SUM(B4:B10)</f>
        <v>2770498.66</v>
      </c>
      <c r="C11" s="319">
        <f>SUM(C4:C10)</f>
        <v>5442216.08</v>
      </c>
      <c r="D11" s="319"/>
      <c r="E11" s="319">
        <f>SUM(E4:E10)</f>
        <v>5064590.17</v>
      </c>
      <c r="F11" s="319"/>
      <c r="G11" s="319">
        <f>SUM(G4:G10)</f>
        <v>4800378.38</v>
      </c>
      <c r="H11" s="319"/>
      <c r="I11" s="319">
        <f>SUM(I4:I10)</f>
        <v>4766551.95</v>
      </c>
      <c r="J11" s="574"/>
      <c r="K11" s="319" t="e">
        <f>SUM(K4:K10)</f>
        <v>#REF!</v>
      </c>
      <c r="L11" s="575" t="e">
        <f>SUM(L4:L10)</f>
        <v>#REF!</v>
      </c>
    </row>
    <row r="12" spans="1:14">
      <c r="J12" s="568"/>
      <c r="L12" s="568"/>
    </row>
    <row r="13" spans="1:14">
      <c r="A13" s="568" t="s">
        <v>15</v>
      </c>
      <c r="C13" s="100">
        <f>C11-B11</f>
        <v>2671717.42</v>
      </c>
      <c r="E13" s="100">
        <f>E11-C11</f>
        <v>-377625.91</v>
      </c>
      <c r="G13" s="100">
        <f>G11-E11</f>
        <v>-264211.79</v>
      </c>
      <c r="I13" s="100">
        <f>I11-G11</f>
        <v>-33826.4299999997</v>
      </c>
      <c r="K13" s="100" t="e">
        <f>K11-I11</f>
        <v>#REF!</v>
      </c>
    </row>
    <row r="15" spans="1:14">
      <c r="K15" s="576">
        <v>4995796.11</v>
      </c>
    </row>
    <row r="16" spans="1:14">
      <c r="K16" s="576" t="e">
        <f>K15-K11</f>
        <v>#REF!</v>
      </c>
    </row>
  </sheetData>
  <pageMargins left="0.7" right="0.7" top="0.75" bottom="0.75" header="0.3" footer="0.3"/>
  <pageSetup paperSize="9" scale="71" fitToHeight="0" orientation="landscape"/>
  <headerFooter>
    <oddFooter>&amp;L&amp;1#&amp;"Calibri"&amp;10&amp;K000000John Keells Group - Confidential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799432355723746"/>
  </sheetPr>
  <dimension ref="A2:P84"/>
  <sheetViews>
    <sheetView view="pageBreakPreview" zoomScale="90" zoomScaleNormal="100" workbookViewId="0">
      <selection activeCell="C28" sqref="C28"/>
    </sheetView>
  </sheetViews>
  <sheetFormatPr defaultColWidth="9" defaultRowHeight="14.4"/>
  <cols>
    <col min="1" max="1" width="21.75" customWidth="1"/>
    <col min="2" max="3" width="12" customWidth="1"/>
    <col min="4" max="4" width="11.1203703703704" customWidth="1"/>
    <col min="5" max="5" width="12.1203703703704" customWidth="1"/>
    <col min="6" max="6" width="10.3703703703704" customWidth="1"/>
    <col min="7" max="9" width="12.1203703703704" customWidth="1"/>
    <col min="10" max="12" width="12" customWidth="1"/>
    <col min="13" max="14" width="24.75" customWidth="1"/>
    <col min="15" max="15" width="12.1203703703704" customWidth="1"/>
    <col min="16" max="16" width="16.6296296296296" customWidth="1"/>
    <col min="17" max="17" width="12.75" customWidth="1"/>
    <col min="18" max="18" width="14.3703703703704" customWidth="1"/>
    <col min="19" max="19" width="21" customWidth="1"/>
  </cols>
  <sheetData>
    <row r="2" spans="1:16">
      <c r="A2" t="s">
        <v>16</v>
      </c>
    </row>
    <row r="4" spans="1:16">
      <c r="A4" s="106" t="s">
        <v>17</v>
      </c>
      <c r="B4" s="106"/>
      <c r="C4" s="106"/>
      <c r="D4" s="106"/>
      <c r="E4" s="106"/>
      <c r="F4" s="106"/>
      <c r="G4" s="106"/>
      <c r="H4" s="106"/>
      <c r="I4" s="106"/>
      <c r="J4" s="106"/>
      <c r="K4" s="106"/>
      <c r="L4" s="106"/>
      <c r="M4" s="106"/>
      <c r="N4" s="106"/>
    </row>
    <row r="6" spans="1:16">
      <c r="C6" s="197" t="s">
        <v>18</v>
      </c>
      <c r="D6" s="197"/>
      <c r="E6" s="197"/>
      <c r="F6" s="197"/>
      <c r="G6" s="109" t="s">
        <v>19</v>
      </c>
      <c r="H6" s="110"/>
      <c r="I6" s="111"/>
      <c r="J6" s="109" t="s">
        <v>20</v>
      </c>
      <c r="K6" s="110"/>
      <c r="L6" s="111"/>
    </row>
    <row r="7" spans="1:16">
      <c r="A7" s="114" t="s">
        <v>21</v>
      </c>
      <c r="B7" s="114" t="s">
        <v>22</v>
      </c>
      <c r="C7" s="113">
        <v>43851</v>
      </c>
      <c r="D7" s="114" t="s">
        <v>23</v>
      </c>
      <c r="E7" s="114" t="s">
        <v>24</v>
      </c>
      <c r="F7" s="114" t="s">
        <v>25</v>
      </c>
      <c r="G7" s="113">
        <v>43851</v>
      </c>
      <c r="H7" s="114" t="s">
        <v>26</v>
      </c>
      <c r="I7" s="114" t="s">
        <v>27</v>
      </c>
      <c r="J7" s="113">
        <v>43851</v>
      </c>
      <c r="K7" s="114" t="s">
        <v>26</v>
      </c>
      <c r="L7" s="114" t="s">
        <v>27</v>
      </c>
      <c r="M7" s="532" t="s">
        <v>28</v>
      </c>
      <c r="N7" s="533"/>
      <c r="O7" s="534"/>
      <c r="P7" s="534"/>
    </row>
    <row r="8" spans="1:16">
      <c r="A8" s="233" t="s">
        <v>29</v>
      </c>
      <c r="B8" s="164">
        <v>8391</v>
      </c>
      <c r="C8" s="241">
        <v>1698</v>
      </c>
      <c r="D8" s="166">
        <v>10988.84</v>
      </c>
      <c r="E8" s="171">
        <v>0</v>
      </c>
      <c r="F8" s="234">
        <f>E8-D8</f>
        <v>-10988.84</v>
      </c>
      <c r="G8" s="535">
        <v>0</v>
      </c>
      <c r="H8" s="535">
        <v>40000</v>
      </c>
      <c r="I8" s="535">
        <v>40000</v>
      </c>
      <c r="J8" s="535">
        <v>104</v>
      </c>
      <c r="K8" s="535">
        <v>351</v>
      </c>
      <c r="L8" s="535">
        <v>558</v>
      </c>
      <c r="M8" s="256" t="s">
        <v>30</v>
      </c>
      <c r="N8" s="258"/>
    </row>
    <row r="9" spans="1:16">
      <c r="A9" s="233" t="s">
        <v>31</v>
      </c>
      <c r="B9" s="164">
        <v>30</v>
      </c>
      <c r="C9" s="241">
        <v>2331</v>
      </c>
      <c r="D9" s="166">
        <v>5968.32</v>
      </c>
      <c r="E9" s="171">
        <v>0</v>
      </c>
      <c r="F9" s="234">
        <f t="shared" ref="F9:F17" si="0">E9-D9</f>
        <v>-5968.32</v>
      </c>
      <c r="G9" s="535">
        <v>0</v>
      </c>
      <c r="H9" s="535">
        <v>15000</v>
      </c>
      <c r="I9" s="535">
        <v>0</v>
      </c>
      <c r="J9" s="535">
        <v>40</v>
      </c>
      <c r="K9" s="535">
        <v>98</v>
      </c>
      <c r="L9" s="535">
        <v>52</v>
      </c>
      <c r="M9" s="256" t="s">
        <v>30</v>
      </c>
      <c r="N9" s="258"/>
    </row>
    <row r="10" spans="1:16">
      <c r="A10" s="233" t="s">
        <v>32</v>
      </c>
      <c r="B10" s="164">
        <v>6936</v>
      </c>
      <c r="C10" s="241">
        <v>9893</v>
      </c>
      <c r="D10" s="166">
        <v>5781.5</v>
      </c>
      <c r="E10" s="171">
        <v>0</v>
      </c>
      <c r="F10" s="234">
        <f t="shared" si="0"/>
        <v>-5781.5</v>
      </c>
      <c r="G10" s="535">
        <v>0</v>
      </c>
      <c r="H10" s="535">
        <v>5000</v>
      </c>
      <c r="I10" s="535">
        <v>5000</v>
      </c>
      <c r="J10" s="535">
        <v>43</v>
      </c>
      <c r="K10" s="535">
        <v>75</v>
      </c>
      <c r="L10" s="535">
        <v>87</v>
      </c>
      <c r="M10" s="256" t="s">
        <v>30</v>
      </c>
      <c r="N10" s="258"/>
    </row>
    <row r="11" spans="1:16">
      <c r="A11" s="233" t="s">
        <v>33</v>
      </c>
      <c r="B11" s="164">
        <v>8869</v>
      </c>
      <c r="C11" s="241">
        <v>0</v>
      </c>
      <c r="D11" s="166">
        <v>5037.49</v>
      </c>
      <c r="E11" s="171">
        <v>0</v>
      </c>
      <c r="F11" s="234">
        <f t="shared" si="0"/>
        <v>-5037.49</v>
      </c>
      <c r="G11" s="535">
        <v>0</v>
      </c>
      <c r="H11" s="535">
        <v>15000</v>
      </c>
      <c r="I11" s="535">
        <v>0</v>
      </c>
      <c r="J11" s="535">
        <v>66</v>
      </c>
      <c r="K11" s="535">
        <v>111</v>
      </c>
      <c r="L11" s="535">
        <v>0</v>
      </c>
      <c r="M11" s="536" t="s">
        <v>34</v>
      </c>
      <c r="N11" s="537"/>
    </row>
    <row r="12" spans="1:16">
      <c r="A12" s="233" t="s">
        <v>35</v>
      </c>
      <c r="B12" s="164">
        <v>1269</v>
      </c>
      <c r="C12" s="241">
        <v>17036.35</v>
      </c>
      <c r="D12" s="166">
        <v>5032.45</v>
      </c>
      <c r="E12" s="171">
        <v>0</v>
      </c>
      <c r="F12" s="234">
        <f t="shared" si="0"/>
        <v>-5032.45</v>
      </c>
      <c r="G12" s="535">
        <v>17500</v>
      </c>
      <c r="H12" s="535">
        <v>20000</v>
      </c>
      <c r="I12" s="535">
        <v>20000</v>
      </c>
      <c r="J12" s="535">
        <v>102</v>
      </c>
      <c r="K12" s="535">
        <v>205</v>
      </c>
      <c r="L12" s="535">
        <v>265</v>
      </c>
      <c r="M12" s="256" t="s">
        <v>30</v>
      </c>
      <c r="N12" s="258"/>
    </row>
    <row r="13" spans="1:16">
      <c r="A13" s="233" t="s">
        <v>36</v>
      </c>
      <c r="B13" s="164">
        <v>5099</v>
      </c>
      <c r="C13" s="241">
        <v>14203</v>
      </c>
      <c r="D13" s="166">
        <v>4648.08</v>
      </c>
      <c r="E13" s="171">
        <v>0</v>
      </c>
      <c r="F13" s="234">
        <f t="shared" si="0"/>
        <v>-4648.08</v>
      </c>
      <c r="G13" s="535">
        <v>12000</v>
      </c>
      <c r="H13" s="535">
        <v>15000</v>
      </c>
      <c r="I13" s="535">
        <v>15000</v>
      </c>
      <c r="J13" s="535">
        <v>42</v>
      </c>
      <c r="K13" s="535">
        <v>137</v>
      </c>
      <c r="L13" s="535">
        <v>197</v>
      </c>
      <c r="M13" s="256" t="s">
        <v>30</v>
      </c>
      <c r="N13" s="258"/>
    </row>
    <row r="14" spans="1:16">
      <c r="A14" s="233" t="s">
        <v>37</v>
      </c>
      <c r="B14" s="164">
        <v>34</v>
      </c>
      <c r="C14" s="241">
        <v>0</v>
      </c>
      <c r="D14" s="166">
        <v>4518.55</v>
      </c>
      <c r="E14" s="171">
        <v>0</v>
      </c>
      <c r="F14" s="234">
        <f t="shared" si="0"/>
        <v>-4518.55</v>
      </c>
      <c r="G14" s="535">
        <v>0</v>
      </c>
      <c r="H14" s="535">
        <v>12000</v>
      </c>
      <c r="I14" s="535">
        <v>7500</v>
      </c>
      <c r="J14" s="535">
        <v>84</v>
      </c>
      <c r="K14" s="535">
        <v>45</v>
      </c>
      <c r="L14" s="535">
        <v>121</v>
      </c>
      <c r="M14" s="536" t="s">
        <v>34</v>
      </c>
      <c r="N14" s="537"/>
    </row>
    <row r="15" spans="1:16">
      <c r="A15" s="233" t="s">
        <v>38</v>
      </c>
      <c r="B15" s="164">
        <v>6845</v>
      </c>
      <c r="C15" s="241">
        <v>12563</v>
      </c>
      <c r="D15" s="166">
        <v>3754.72</v>
      </c>
      <c r="E15" s="171">
        <v>0</v>
      </c>
      <c r="F15" s="234">
        <f t="shared" si="0"/>
        <v>-3754.72</v>
      </c>
      <c r="G15" s="535">
        <v>11000</v>
      </c>
      <c r="H15" s="535">
        <v>18000</v>
      </c>
      <c r="I15" s="535">
        <v>7000</v>
      </c>
      <c r="J15" s="535">
        <v>37</v>
      </c>
      <c r="K15" s="535">
        <v>158</v>
      </c>
      <c r="L15" s="535">
        <v>214</v>
      </c>
      <c r="M15" s="256" t="s">
        <v>30</v>
      </c>
      <c r="N15" s="258"/>
    </row>
    <row r="16" spans="1:16">
      <c r="A16" s="233" t="s">
        <v>39</v>
      </c>
      <c r="B16" s="164">
        <v>8565</v>
      </c>
      <c r="C16" s="241">
        <v>6000.7</v>
      </c>
      <c r="D16" s="166">
        <v>3632.44</v>
      </c>
      <c r="E16" s="171">
        <v>0</v>
      </c>
      <c r="F16" s="234">
        <f t="shared" si="0"/>
        <v>-3632.44</v>
      </c>
      <c r="G16" s="535">
        <v>10000</v>
      </c>
      <c r="H16" s="535">
        <v>12000</v>
      </c>
      <c r="I16" s="535">
        <v>10000</v>
      </c>
      <c r="J16" s="535">
        <v>117</v>
      </c>
      <c r="K16" s="535">
        <v>106</v>
      </c>
      <c r="L16" s="535">
        <v>147</v>
      </c>
      <c r="M16" s="256" t="s">
        <v>30</v>
      </c>
      <c r="N16" s="258"/>
    </row>
    <row r="17" spans="1:16">
      <c r="A17" s="233" t="s">
        <v>40</v>
      </c>
      <c r="B17" s="164">
        <v>89</v>
      </c>
      <c r="C17" s="241">
        <v>5774</v>
      </c>
      <c r="D17" s="166">
        <v>3504.36</v>
      </c>
      <c r="E17" s="171">
        <v>0</v>
      </c>
      <c r="F17" s="234">
        <f t="shared" si="0"/>
        <v>-3504.36</v>
      </c>
      <c r="G17" s="535">
        <v>10000</v>
      </c>
      <c r="H17" s="535">
        <v>10000</v>
      </c>
      <c r="I17" s="535">
        <v>10000</v>
      </c>
      <c r="J17" s="535">
        <v>106</v>
      </c>
      <c r="K17" s="535">
        <v>79</v>
      </c>
      <c r="L17" s="535">
        <v>127</v>
      </c>
      <c r="M17" s="256" t="s">
        <v>30</v>
      </c>
      <c r="N17" s="258"/>
    </row>
    <row r="20" spans="1:16">
      <c r="A20" s="106" t="s">
        <v>41</v>
      </c>
      <c r="B20" s="106"/>
      <c r="C20" s="106"/>
      <c r="D20" s="106"/>
      <c r="E20" s="106"/>
      <c r="F20" s="106"/>
      <c r="G20" s="106"/>
      <c r="H20" s="106"/>
      <c r="I20" s="106"/>
      <c r="J20" s="106"/>
      <c r="K20" s="106"/>
      <c r="L20" s="106"/>
      <c r="M20" s="106"/>
      <c r="N20" s="106"/>
    </row>
    <row r="22" spans="1:16">
      <c r="C22" s="107" t="s">
        <v>18</v>
      </c>
      <c r="D22" s="107"/>
      <c r="E22" s="107"/>
      <c r="F22" s="108"/>
      <c r="G22" s="109" t="s">
        <v>19</v>
      </c>
      <c r="H22" s="110"/>
      <c r="I22" s="111"/>
      <c r="J22" s="109" t="s">
        <v>20</v>
      </c>
      <c r="K22" s="110"/>
      <c r="L22" s="111"/>
    </row>
    <row r="23" spans="1:16">
      <c r="A23" s="112" t="s">
        <v>21</v>
      </c>
      <c r="B23" s="112" t="s">
        <v>22</v>
      </c>
      <c r="C23" s="113">
        <v>43851</v>
      </c>
      <c r="D23" s="112" t="s">
        <v>23</v>
      </c>
      <c r="E23" s="112" t="s">
        <v>24</v>
      </c>
      <c r="F23" s="112" t="s">
        <v>25</v>
      </c>
      <c r="G23" s="113">
        <v>43851</v>
      </c>
      <c r="H23" s="112" t="s">
        <v>26</v>
      </c>
      <c r="I23" s="112" t="s">
        <v>27</v>
      </c>
      <c r="J23" s="113">
        <v>43851</v>
      </c>
      <c r="K23" s="112" t="s">
        <v>26</v>
      </c>
      <c r="L23" s="112" t="s">
        <v>27</v>
      </c>
      <c r="M23" s="532" t="s">
        <v>28</v>
      </c>
      <c r="N23" s="533"/>
      <c r="O23" s="534"/>
      <c r="P23" s="534"/>
    </row>
    <row r="24" spans="1:16">
      <c r="A24" s="233" t="s">
        <v>42</v>
      </c>
      <c r="B24" s="164">
        <v>8715</v>
      </c>
      <c r="C24" s="241">
        <v>89748.76</v>
      </c>
      <c r="D24" s="57">
        <v>31867.46</v>
      </c>
      <c r="E24" s="57">
        <v>28423.36</v>
      </c>
      <c r="F24" s="275">
        <f>E24-D24</f>
        <v>-3444.1</v>
      </c>
      <c r="G24" s="535">
        <v>70000</v>
      </c>
      <c r="H24" s="535">
        <v>170000</v>
      </c>
      <c r="I24" s="45">
        <v>120000</v>
      </c>
      <c r="J24" s="45">
        <v>234</v>
      </c>
      <c r="K24" s="45">
        <v>1975</v>
      </c>
      <c r="L24" s="45">
        <v>2307</v>
      </c>
      <c r="M24" s="502" t="s">
        <v>43</v>
      </c>
      <c r="N24" s="256"/>
      <c r="O24" s="538"/>
      <c r="P24" s="538"/>
    </row>
    <row r="25" spans="1:16">
      <c r="A25" s="233" t="s">
        <v>44</v>
      </c>
      <c r="B25" s="164">
        <v>8563</v>
      </c>
      <c r="C25" s="241">
        <v>264630.3</v>
      </c>
      <c r="D25" s="57">
        <v>112178.1</v>
      </c>
      <c r="E25" s="57">
        <v>108149.5</v>
      </c>
      <c r="F25" s="275">
        <f t="shared" ref="F25:F29" si="1">E25-D25</f>
        <v>-4028.60000000001</v>
      </c>
      <c r="G25" s="535">
        <v>250000</v>
      </c>
      <c r="H25" s="535">
        <v>250000</v>
      </c>
      <c r="I25" s="45">
        <v>250000</v>
      </c>
      <c r="J25" s="45">
        <v>1319</v>
      </c>
      <c r="K25" s="45">
        <v>2745</v>
      </c>
      <c r="L25" s="45">
        <v>2536</v>
      </c>
      <c r="M25" s="502" t="s">
        <v>45</v>
      </c>
      <c r="N25" s="256"/>
      <c r="O25" s="538"/>
      <c r="P25" s="538"/>
    </row>
    <row r="26" spans="1:16">
      <c r="A26" s="233" t="s">
        <v>46</v>
      </c>
      <c r="B26" s="164">
        <v>311</v>
      </c>
      <c r="C26" s="241">
        <v>50601.88</v>
      </c>
      <c r="D26" s="57">
        <v>24610.88</v>
      </c>
      <c r="E26" s="57">
        <v>38710.68</v>
      </c>
      <c r="F26" s="275">
        <f t="shared" si="1"/>
        <v>14099.8</v>
      </c>
      <c r="G26" s="535">
        <v>20000</v>
      </c>
      <c r="H26" s="535">
        <v>30000</v>
      </c>
      <c r="I26" s="45">
        <v>40000</v>
      </c>
      <c r="J26" s="45">
        <v>294</v>
      </c>
      <c r="K26" s="45">
        <v>850</v>
      </c>
      <c r="L26" s="45">
        <v>564</v>
      </c>
      <c r="M26" s="502" t="s">
        <v>47</v>
      </c>
      <c r="N26" s="256"/>
      <c r="O26" s="97" t="s">
        <v>48</v>
      </c>
      <c r="P26" s="538"/>
    </row>
    <row r="27" spans="1:16">
      <c r="A27" s="233" t="s">
        <v>49</v>
      </c>
      <c r="B27" s="164">
        <v>5634</v>
      </c>
      <c r="C27" s="241">
        <v>2158.01</v>
      </c>
      <c r="D27" s="57">
        <v>11604.05</v>
      </c>
      <c r="E27" s="57">
        <v>10539.76</v>
      </c>
      <c r="F27" s="539">
        <f t="shared" si="1"/>
        <v>-1064.29</v>
      </c>
      <c r="G27" s="535">
        <v>0</v>
      </c>
      <c r="H27" s="535">
        <v>20000</v>
      </c>
      <c r="I27" s="45">
        <v>15000</v>
      </c>
      <c r="J27" s="45">
        <v>119</v>
      </c>
      <c r="K27" s="45">
        <v>206</v>
      </c>
      <c r="L27" s="45">
        <v>145</v>
      </c>
      <c r="M27" s="501" t="s">
        <v>50</v>
      </c>
      <c r="N27" s="536"/>
      <c r="O27" s="538"/>
      <c r="P27" s="538"/>
    </row>
    <row r="28" spans="1:16">
      <c r="A28" s="233" t="s">
        <v>29</v>
      </c>
      <c r="B28" s="164">
        <v>6924</v>
      </c>
      <c r="C28" s="241">
        <v>3366.5</v>
      </c>
      <c r="D28" s="57">
        <v>7599.44</v>
      </c>
      <c r="E28" s="57">
        <v>95.76</v>
      </c>
      <c r="F28" s="275">
        <f t="shared" si="1"/>
        <v>-7503.68</v>
      </c>
      <c r="G28" s="535">
        <v>5000</v>
      </c>
      <c r="H28" s="535">
        <v>18000</v>
      </c>
      <c r="I28" s="45">
        <v>15000</v>
      </c>
      <c r="J28" s="45">
        <v>123</v>
      </c>
      <c r="K28" s="45">
        <v>116</v>
      </c>
      <c r="L28" s="45">
        <v>239</v>
      </c>
      <c r="M28" s="502" t="s">
        <v>45</v>
      </c>
      <c r="N28" s="256"/>
      <c r="O28" s="538"/>
      <c r="P28" s="538"/>
    </row>
    <row r="29" spans="1:16">
      <c r="A29" s="233" t="s">
        <v>51</v>
      </c>
      <c r="B29" s="164">
        <v>190</v>
      </c>
      <c r="C29" s="241">
        <v>0</v>
      </c>
      <c r="D29" s="57">
        <v>3390.83</v>
      </c>
      <c r="E29" s="57">
        <v>8204.44</v>
      </c>
      <c r="F29" s="539">
        <f t="shared" si="1"/>
        <v>4813.61</v>
      </c>
      <c r="G29" s="535">
        <v>5000</v>
      </c>
      <c r="H29" s="535">
        <v>18000</v>
      </c>
      <c r="I29" s="45">
        <v>20000</v>
      </c>
      <c r="J29" s="45">
        <v>145</v>
      </c>
      <c r="K29" s="45">
        <v>266</v>
      </c>
      <c r="L29" s="45">
        <v>219</v>
      </c>
      <c r="M29" s="501" t="s">
        <v>34</v>
      </c>
      <c r="N29" s="536"/>
      <c r="O29" s="538"/>
      <c r="P29" s="538"/>
    </row>
    <row r="30" spans="1:16">
      <c r="A30" s="233" t="s">
        <v>52</v>
      </c>
      <c r="B30" s="164">
        <v>3514</v>
      </c>
      <c r="C30" s="241">
        <v>4692.5</v>
      </c>
      <c r="D30" s="57">
        <v>4842.54</v>
      </c>
      <c r="E30" s="57">
        <v>9062.8</v>
      </c>
      <c r="F30" s="539">
        <f t="shared" ref="F30:F34" si="2">E30-D30</f>
        <v>4220.26</v>
      </c>
      <c r="G30" s="535">
        <v>0</v>
      </c>
      <c r="H30" s="535">
        <v>0</v>
      </c>
      <c r="I30" s="45">
        <v>45000</v>
      </c>
      <c r="J30" s="45">
        <v>0</v>
      </c>
      <c r="K30" s="45">
        <v>31</v>
      </c>
      <c r="L30" s="45">
        <v>414</v>
      </c>
      <c r="M30" s="501" t="s">
        <v>50</v>
      </c>
      <c r="N30" s="536"/>
      <c r="O30" s="538"/>
      <c r="P30" s="538"/>
    </row>
    <row r="31" spans="1:16">
      <c r="A31" s="233" t="s">
        <v>53</v>
      </c>
      <c r="B31" s="164">
        <v>3787</v>
      </c>
      <c r="C31" s="241">
        <v>0</v>
      </c>
      <c r="D31" s="57">
        <v>1492.85</v>
      </c>
      <c r="E31" s="57">
        <v>7786.95</v>
      </c>
      <c r="F31" s="539">
        <f t="shared" si="2"/>
        <v>6294.1</v>
      </c>
      <c r="G31" s="535">
        <v>4000</v>
      </c>
      <c r="H31" s="535">
        <v>0</v>
      </c>
      <c r="I31" s="45">
        <v>15000</v>
      </c>
      <c r="J31" s="45">
        <v>68</v>
      </c>
      <c r="K31" s="45">
        <v>65</v>
      </c>
      <c r="L31" s="45">
        <v>81</v>
      </c>
      <c r="M31" s="501" t="s">
        <v>34</v>
      </c>
      <c r="N31" s="536"/>
      <c r="O31" s="538"/>
      <c r="P31" s="538"/>
    </row>
    <row r="32" spans="1:16">
      <c r="A32" s="233" t="s">
        <v>54</v>
      </c>
      <c r="B32" s="164">
        <v>3811</v>
      </c>
      <c r="C32" s="241">
        <v>58477.25</v>
      </c>
      <c r="D32" s="57">
        <v>5433.79</v>
      </c>
      <c r="E32" s="57">
        <v>7112</v>
      </c>
      <c r="F32" s="275">
        <f t="shared" si="2"/>
        <v>1678.21</v>
      </c>
      <c r="G32" s="535">
        <v>80000</v>
      </c>
      <c r="H32" s="535">
        <v>80000</v>
      </c>
      <c r="I32" s="45">
        <v>80000</v>
      </c>
      <c r="J32" s="45">
        <v>394</v>
      </c>
      <c r="K32" s="45">
        <v>931</v>
      </c>
      <c r="L32" s="45">
        <v>860</v>
      </c>
      <c r="M32" s="502" t="s">
        <v>55</v>
      </c>
      <c r="N32" s="256"/>
      <c r="O32" s="538"/>
      <c r="P32" s="538"/>
    </row>
    <row r="33" spans="1:16">
      <c r="A33" s="233" t="s">
        <v>56</v>
      </c>
      <c r="B33" s="164">
        <v>6838</v>
      </c>
      <c r="C33" s="241">
        <v>6718</v>
      </c>
      <c r="D33" s="57">
        <v>5291.88</v>
      </c>
      <c r="E33" s="57">
        <v>7076.4</v>
      </c>
      <c r="F33" s="539">
        <f t="shared" si="2"/>
        <v>1784.52</v>
      </c>
      <c r="G33" s="535">
        <v>10000</v>
      </c>
      <c r="H33" s="535">
        <v>15000</v>
      </c>
      <c r="I33" s="45">
        <v>18000</v>
      </c>
      <c r="J33" s="45">
        <v>132</v>
      </c>
      <c r="K33" s="45">
        <v>207</v>
      </c>
      <c r="L33" s="45">
        <v>132</v>
      </c>
      <c r="M33" s="501" t="s">
        <v>50</v>
      </c>
      <c r="N33" s="536"/>
      <c r="O33" s="538"/>
      <c r="P33" s="538"/>
    </row>
    <row r="34" spans="1:16">
      <c r="A34" s="233" t="s">
        <v>57</v>
      </c>
      <c r="B34" s="164">
        <v>8637</v>
      </c>
      <c r="C34" s="241">
        <v>4795</v>
      </c>
      <c r="D34" s="57">
        <v>1602.94</v>
      </c>
      <c r="E34" s="57">
        <v>6506.85</v>
      </c>
      <c r="F34" s="539">
        <f t="shared" si="2"/>
        <v>4903.91</v>
      </c>
      <c r="G34" s="535">
        <v>5000</v>
      </c>
      <c r="H34" s="535">
        <v>0</v>
      </c>
      <c r="I34" s="45">
        <v>10000</v>
      </c>
      <c r="J34" s="45">
        <v>38</v>
      </c>
      <c r="K34" s="45">
        <v>66</v>
      </c>
      <c r="L34" s="45">
        <v>43</v>
      </c>
      <c r="M34" s="501" t="s">
        <v>50</v>
      </c>
      <c r="N34" s="536"/>
      <c r="O34" s="538"/>
      <c r="P34" s="538"/>
    </row>
    <row r="35" ht="15.15" spans="1:16">
      <c r="B35" s="244"/>
      <c r="C35" s="244"/>
      <c r="D35" s="540">
        <f>SUM(D24:D29)</f>
        <v>191250.76</v>
      </c>
      <c r="E35" s="540">
        <f>SUM(E24:E29)</f>
        <v>194123.5</v>
      </c>
      <c r="F35" s="541"/>
      <c r="G35" s="541"/>
      <c r="H35" s="542"/>
      <c r="I35" s="542"/>
      <c r="J35" s="542"/>
      <c r="K35" s="542"/>
      <c r="L35" s="542"/>
      <c r="M35" s="538"/>
      <c r="N35" s="538"/>
    </row>
    <row r="36" ht="15.15" spans="1:16">
      <c r="B36" s="244"/>
      <c r="C36" s="244"/>
    </row>
    <row r="37" spans="1:16">
      <c r="A37" s="106" t="s">
        <v>58</v>
      </c>
      <c r="B37" s="106"/>
      <c r="C37" s="106"/>
      <c r="D37" s="106"/>
      <c r="E37" s="106"/>
      <c r="F37" s="106"/>
      <c r="G37" s="106"/>
      <c r="H37" s="106"/>
      <c r="I37" s="106"/>
      <c r="J37" s="106"/>
      <c r="K37" s="106"/>
      <c r="L37" s="106"/>
      <c r="M37" s="106"/>
      <c r="N37" s="106"/>
    </row>
    <row r="39" spans="1:16">
      <c r="C39" s="197" t="s">
        <v>18</v>
      </c>
      <c r="D39" s="197"/>
      <c r="E39" s="197"/>
      <c r="F39" s="197"/>
      <c r="G39" s="197" t="s">
        <v>19</v>
      </c>
      <c r="H39" s="197"/>
      <c r="I39" s="197"/>
      <c r="J39" s="109" t="s">
        <v>20</v>
      </c>
      <c r="K39" s="110"/>
      <c r="L39" s="111"/>
    </row>
    <row r="40" spans="1:16">
      <c r="A40" s="112" t="s">
        <v>21</v>
      </c>
      <c r="B40" s="112" t="s">
        <v>22</v>
      </c>
      <c r="C40" s="113">
        <v>43851</v>
      </c>
      <c r="D40" s="112" t="s">
        <v>23</v>
      </c>
      <c r="E40" s="112" t="s">
        <v>24</v>
      </c>
      <c r="F40" s="112" t="s">
        <v>25</v>
      </c>
      <c r="G40" s="113">
        <v>43851</v>
      </c>
      <c r="H40" s="112" t="s">
        <v>26</v>
      </c>
      <c r="I40" s="112" t="s">
        <v>27</v>
      </c>
      <c r="J40" s="113">
        <v>43851</v>
      </c>
      <c r="K40" s="112" t="s">
        <v>26</v>
      </c>
      <c r="L40" s="112" t="s">
        <v>27</v>
      </c>
      <c r="M40" s="271" t="s">
        <v>28</v>
      </c>
      <c r="N40" s="543"/>
      <c r="O40" s="544"/>
    </row>
    <row r="41" spans="1:16">
      <c r="A41" s="233" t="s">
        <v>59</v>
      </c>
      <c r="B41" s="164">
        <v>8918</v>
      </c>
      <c r="C41" s="241">
        <v>279098.84</v>
      </c>
      <c r="D41" s="254">
        <v>115140.18</v>
      </c>
      <c r="E41" s="254">
        <v>73213.59</v>
      </c>
      <c r="F41" s="545">
        <f>E41-D41</f>
        <v>-41926.59</v>
      </c>
      <c r="G41" s="546">
        <v>250000</v>
      </c>
      <c r="H41" s="477">
        <v>300000</v>
      </c>
      <c r="I41" s="477">
        <v>20000</v>
      </c>
      <c r="J41" s="535">
        <v>2068</v>
      </c>
      <c r="K41" s="477">
        <v>3601</v>
      </c>
      <c r="L41" s="477">
        <v>3155</v>
      </c>
      <c r="M41" s="502" t="s">
        <v>60</v>
      </c>
      <c r="N41" s="256"/>
      <c r="O41" s="97" t="s">
        <v>61</v>
      </c>
    </row>
    <row r="42" s="97" customFormat="1" spans="1:16">
      <c r="A42" s="188" t="s">
        <v>62</v>
      </c>
      <c r="B42" s="155">
        <v>6523</v>
      </c>
      <c r="C42" s="122">
        <v>174446.89</v>
      </c>
      <c r="D42" s="254">
        <v>174290.02</v>
      </c>
      <c r="E42" s="254">
        <v>188213.69</v>
      </c>
      <c r="F42" s="246">
        <f t="shared" ref="F42:F46" si="3">E42-D42</f>
        <v>13923.67</v>
      </c>
      <c r="G42" s="247">
        <v>0</v>
      </c>
      <c r="H42" s="20"/>
      <c r="I42" s="20">
        <v>0</v>
      </c>
      <c r="J42" s="20">
        <v>116</v>
      </c>
      <c r="K42" s="186">
        <v>257</v>
      </c>
      <c r="L42" s="186">
        <v>74</v>
      </c>
      <c r="M42" s="501" t="s">
        <v>63</v>
      </c>
      <c r="N42" s="536"/>
      <c r="O42" s="97" t="s">
        <v>64</v>
      </c>
    </row>
    <row r="43" spans="1:16">
      <c r="A43" s="233" t="s">
        <v>65</v>
      </c>
      <c r="B43" s="164">
        <v>9452</v>
      </c>
      <c r="C43" s="241">
        <v>24928.33</v>
      </c>
      <c r="D43" s="254">
        <v>25267.13</v>
      </c>
      <c r="E43" s="254">
        <v>38113.23</v>
      </c>
      <c r="F43" s="547">
        <f t="shared" si="3"/>
        <v>12846.1</v>
      </c>
      <c r="G43" s="546">
        <v>0</v>
      </c>
      <c r="H43" s="477"/>
      <c r="I43" s="477">
        <v>50000</v>
      </c>
      <c r="J43" s="535">
        <v>0</v>
      </c>
      <c r="K43" s="477">
        <v>70</v>
      </c>
      <c r="L43" s="477">
        <v>562</v>
      </c>
      <c r="M43" s="501" t="s">
        <v>50</v>
      </c>
      <c r="N43" s="536"/>
      <c r="O43" s="261"/>
    </row>
    <row r="44" spans="1:16">
      <c r="A44" s="233" t="s">
        <v>66</v>
      </c>
      <c r="B44" s="164">
        <v>8171</v>
      </c>
      <c r="C44" s="241">
        <v>46698.68</v>
      </c>
      <c r="D44" s="254">
        <v>48096.04</v>
      </c>
      <c r="E44" s="254">
        <v>53874.18</v>
      </c>
      <c r="F44" s="547">
        <f t="shared" si="3"/>
        <v>5778.14</v>
      </c>
      <c r="G44" s="546">
        <v>0</v>
      </c>
      <c r="H44" s="477"/>
      <c r="I44" s="477">
        <v>0</v>
      </c>
      <c r="J44" s="535">
        <v>65</v>
      </c>
      <c r="K44" s="477">
        <v>79</v>
      </c>
      <c r="L44" s="477">
        <v>90</v>
      </c>
      <c r="M44" s="501" t="s">
        <v>50</v>
      </c>
      <c r="N44" s="536"/>
      <c r="O44" s="261"/>
    </row>
    <row r="45" spans="1:16">
      <c r="A45" s="548" t="s">
        <v>67</v>
      </c>
      <c r="B45" s="524">
        <v>1260</v>
      </c>
      <c r="C45" s="241">
        <v>91006.35</v>
      </c>
      <c r="D45" s="122">
        <v>91006.35</v>
      </c>
      <c r="E45" s="122">
        <v>91006.35</v>
      </c>
      <c r="F45" s="549">
        <f t="shared" si="3"/>
        <v>0</v>
      </c>
      <c r="G45" s="546">
        <v>0</v>
      </c>
      <c r="H45" s="477"/>
      <c r="I45" s="477">
        <v>0</v>
      </c>
      <c r="J45" s="535">
        <v>0</v>
      </c>
      <c r="K45" s="477">
        <v>0</v>
      </c>
      <c r="L45" s="477">
        <v>0</v>
      </c>
      <c r="M45" s="502" t="s">
        <v>68</v>
      </c>
      <c r="N45" s="256"/>
      <c r="O45" s="261"/>
    </row>
    <row r="46" spans="1:16">
      <c r="A46" s="233" t="s">
        <v>69</v>
      </c>
      <c r="B46" s="164">
        <v>6301</v>
      </c>
      <c r="C46" s="241">
        <v>30401</v>
      </c>
      <c r="D46" s="254">
        <v>260.14</v>
      </c>
      <c r="E46" s="254">
        <v>15092.44</v>
      </c>
      <c r="F46" s="545">
        <f t="shared" si="3"/>
        <v>14832.3</v>
      </c>
      <c r="G46" s="546">
        <v>60000</v>
      </c>
      <c r="H46" s="477">
        <v>35000</v>
      </c>
      <c r="I46" s="477">
        <v>0</v>
      </c>
      <c r="J46" s="535">
        <v>512</v>
      </c>
      <c r="K46" s="477">
        <v>565</v>
      </c>
      <c r="L46" s="477">
        <v>397</v>
      </c>
      <c r="M46" s="502" t="s">
        <v>45</v>
      </c>
      <c r="N46" s="256"/>
      <c r="O46" s="261"/>
    </row>
    <row r="47" ht="15.15" spans="1:16">
      <c r="A47" s="176"/>
      <c r="B47" s="244"/>
      <c r="C47" s="244"/>
      <c r="D47" s="550">
        <f>SUM(D41:D46)</f>
        <v>454059.86</v>
      </c>
      <c r="E47" s="550">
        <f>SUM(E41:E46)</f>
        <v>459513.48</v>
      </c>
      <c r="F47" s="551"/>
      <c r="G47" s="551"/>
      <c r="H47" s="552"/>
      <c r="I47" s="542"/>
      <c r="J47" s="542"/>
      <c r="K47" s="552"/>
      <c r="L47" s="244"/>
      <c r="M47" s="553"/>
      <c r="N47" s="553"/>
      <c r="O47" s="261"/>
    </row>
    <row r="48" ht="15.15"/>
    <row r="49" spans="1:15">
      <c r="A49" s="106" t="s">
        <v>70</v>
      </c>
      <c r="B49" s="106"/>
      <c r="C49" s="106"/>
      <c r="D49" s="106"/>
      <c r="E49" s="106"/>
      <c r="F49" s="106"/>
      <c r="G49" s="106"/>
      <c r="H49" s="106"/>
      <c r="I49" s="106"/>
      <c r="J49" s="106"/>
      <c r="K49" s="106"/>
      <c r="L49" s="106"/>
      <c r="M49" s="106"/>
      <c r="N49" s="106"/>
    </row>
    <row r="51" spans="1:15">
      <c r="C51" s="107" t="s">
        <v>18</v>
      </c>
      <c r="D51" s="107"/>
      <c r="E51" s="107"/>
      <c r="F51" s="108"/>
      <c r="G51" s="251"/>
      <c r="H51" s="554"/>
      <c r="I51" s="554"/>
      <c r="J51" s="554"/>
      <c r="K51" s="554"/>
      <c r="L51" s="554"/>
    </row>
    <row r="52" spans="1:15">
      <c r="A52" s="112" t="s">
        <v>21</v>
      </c>
      <c r="B52" s="112" t="s">
        <v>22</v>
      </c>
      <c r="C52" s="113">
        <v>43851</v>
      </c>
      <c r="D52" s="112" t="s">
        <v>23</v>
      </c>
      <c r="E52" s="112" t="s">
        <v>24</v>
      </c>
      <c r="F52" s="150" t="s">
        <v>25</v>
      </c>
      <c r="G52" s="115" t="s">
        <v>28</v>
      </c>
      <c r="H52" s="252"/>
      <c r="I52" s="252"/>
      <c r="J52" s="252"/>
      <c r="K52" s="252"/>
      <c r="L52" s="252"/>
      <c r="M52" s="252"/>
      <c r="N52" s="252"/>
      <c r="O52" s="544"/>
    </row>
    <row r="53" s="530" customFormat="1" ht="15" customHeight="1" spans="1:15">
      <c r="A53" s="498" t="s">
        <v>71</v>
      </c>
      <c r="B53" s="117">
        <v>8355</v>
      </c>
      <c r="C53" s="122">
        <v>150062</v>
      </c>
      <c r="D53" s="122">
        <v>150061.53</v>
      </c>
      <c r="E53" s="122">
        <v>150061.53</v>
      </c>
      <c r="F53" s="555">
        <f>E53-D53</f>
        <v>0</v>
      </c>
      <c r="G53" s="556" t="s">
        <v>72</v>
      </c>
      <c r="H53" s="557"/>
      <c r="I53" s="557"/>
      <c r="J53" s="557"/>
      <c r="K53" s="557"/>
      <c r="L53" s="557"/>
      <c r="M53" s="557"/>
      <c r="N53" s="557"/>
      <c r="O53" s="558"/>
    </row>
    <row r="54" s="530" customFormat="1" spans="1:15">
      <c r="A54" s="498" t="s">
        <v>73</v>
      </c>
      <c r="B54" s="117">
        <v>8399</v>
      </c>
      <c r="C54" s="122">
        <v>25684</v>
      </c>
      <c r="D54" s="122">
        <v>25683.72</v>
      </c>
      <c r="E54" s="122">
        <v>25683.72</v>
      </c>
      <c r="F54" s="555">
        <f t="shared" ref="F54:F57" si="4">E54-D54</f>
        <v>0</v>
      </c>
      <c r="G54" s="559"/>
      <c r="H54" s="560"/>
      <c r="I54" s="560"/>
      <c r="J54" s="560"/>
      <c r="K54" s="560"/>
      <c r="L54" s="560"/>
      <c r="M54" s="560"/>
      <c r="N54" s="560"/>
      <c r="O54" s="558"/>
    </row>
    <row r="55" s="530" customFormat="1" spans="1:15">
      <c r="A55" s="498" t="s">
        <v>74</v>
      </c>
      <c r="B55" s="117">
        <v>5648</v>
      </c>
      <c r="C55" s="122">
        <v>74534</v>
      </c>
      <c r="D55" s="122">
        <v>74533.81</v>
      </c>
      <c r="E55" s="122">
        <v>74533.81</v>
      </c>
      <c r="F55" s="555">
        <f t="shared" si="4"/>
        <v>0</v>
      </c>
      <c r="G55" s="561" t="s">
        <v>75</v>
      </c>
      <c r="H55" s="562"/>
      <c r="I55" s="562"/>
      <c r="J55" s="562"/>
      <c r="K55" s="562"/>
      <c r="L55" s="562"/>
      <c r="M55" s="562"/>
      <c r="N55" s="562"/>
      <c r="O55" s="558"/>
    </row>
    <row r="56" s="530" customFormat="1" spans="1:15">
      <c r="A56" s="498" t="s">
        <v>76</v>
      </c>
      <c r="B56" s="117">
        <v>8314</v>
      </c>
      <c r="C56" s="122">
        <v>28064</v>
      </c>
      <c r="D56" s="122">
        <v>28064.32</v>
      </c>
      <c r="E56" s="122">
        <v>28064.32</v>
      </c>
      <c r="F56" s="555">
        <f t="shared" si="4"/>
        <v>0</v>
      </c>
      <c r="G56" s="561" t="s">
        <v>77</v>
      </c>
      <c r="H56" s="562"/>
      <c r="I56" s="562"/>
      <c r="J56" s="562"/>
      <c r="K56" s="562"/>
      <c r="L56" s="562"/>
      <c r="M56" s="562"/>
      <c r="N56" s="562"/>
      <c r="O56" s="558"/>
    </row>
    <row r="57" s="531" customFormat="1" spans="1:15">
      <c r="A57" s="498" t="s">
        <v>78</v>
      </c>
      <c r="B57" s="117">
        <v>8303</v>
      </c>
      <c r="C57" s="122">
        <v>18974</v>
      </c>
      <c r="D57" s="122">
        <v>18974</v>
      </c>
      <c r="E57" s="122">
        <v>18974</v>
      </c>
      <c r="F57" s="555">
        <f t="shared" si="4"/>
        <v>0</v>
      </c>
      <c r="G57" s="561" t="s">
        <v>79</v>
      </c>
      <c r="H57" s="562"/>
      <c r="I57" s="562"/>
      <c r="J57" s="562"/>
      <c r="K57" s="562"/>
      <c r="L57" s="562"/>
      <c r="M57" s="562"/>
      <c r="N57" s="562"/>
      <c r="O57" s="558"/>
    </row>
    <row r="58" s="531" customFormat="1" ht="15.15" spans="1:15">
      <c r="A58" s="563"/>
      <c r="B58" s="525"/>
      <c r="C58" s="525"/>
      <c r="D58" s="550">
        <f>SUM(D53:D57)</f>
        <v>297317.38</v>
      </c>
      <c r="E58" s="550">
        <f>SUM(E53:E57)</f>
        <v>297317.38</v>
      </c>
      <c r="F58" s="564"/>
      <c r="G58" s="564"/>
      <c r="H58" s="565"/>
      <c r="I58" s="565"/>
      <c r="J58" s="565"/>
      <c r="K58" s="565"/>
      <c r="L58" s="565"/>
      <c r="M58" s="565"/>
      <c r="N58" s="565"/>
      <c r="O58" s="558"/>
    </row>
    <row r="59" ht="15.15" spans="1:15">
      <c r="M59" s="566"/>
      <c r="N59" s="566"/>
    </row>
    <row r="75" ht="19.5" hidden="1" customHeight="1" spans="1:14">
      <c r="A75" s="112" t="s">
        <v>21</v>
      </c>
      <c r="B75" s="112" t="s">
        <v>22</v>
      </c>
      <c r="C75" s="112"/>
      <c r="D75" s="112"/>
      <c r="E75" s="112"/>
      <c r="F75" s="112"/>
      <c r="G75" s="112"/>
      <c r="H75" s="112"/>
      <c r="I75" s="112"/>
      <c r="J75" s="112"/>
      <c r="K75" s="112"/>
      <c r="L75" s="112"/>
      <c r="M75" s="150">
        <v>43738</v>
      </c>
      <c r="N75" s="112" t="s">
        <v>80</v>
      </c>
    </row>
    <row r="76" hidden="1" spans="1:14">
      <c r="A76" s="163" t="s">
        <v>59</v>
      </c>
      <c r="B76" s="164">
        <v>8918</v>
      </c>
      <c r="C76" s="164"/>
      <c r="D76" s="164"/>
      <c r="E76" s="164"/>
      <c r="F76" s="164"/>
      <c r="G76" s="164"/>
      <c r="H76" s="164"/>
      <c r="I76" s="164"/>
      <c r="J76" s="164"/>
      <c r="K76" s="164"/>
      <c r="L76" s="164"/>
      <c r="M76" s="171">
        <v>215442.67</v>
      </c>
      <c r="N76" s="171">
        <v>215442.67</v>
      </c>
    </row>
    <row r="77" hidden="1" spans="1:14">
      <c r="A77" s="163" t="s">
        <v>62</v>
      </c>
      <c r="B77" s="164">
        <v>6523</v>
      </c>
      <c r="C77" s="164"/>
      <c r="D77" s="164"/>
      <c r="E77" s="164"/>
      <c r="F77" s="164"/>
      <c r="G77" s="164"/>
      <c r="H77" s="164"/>
      <c r="I77" s="164"/>
      <c r="J77" s="164"/>
      <c r="K77" s="164"/>
      <c r="L77" s="164"/>
      <c r="M77" s="171">
        <v>172373.98</v>
      </c>
      <c r="N77" s="171">
        <v>18894.47</v>
      </c>
    </row>
    <row r="78" hidden="1" spans="1:14">
      <c r="A78" s="163" t="s">
        <v>65</v>
      </c>
      <c r="B78" s="164">
        <v>9452</v>
      </c>
      <c r="C78" s="164"/>
      <c r="D78" s="164"/>
      <c r="E78" s="164"/>
      <c r="F78" s="164"/>
      <c r="G78" s="164"/>
      <c r="H78" s="164"/>
      <c r="I78" s="164"/>
      <c r="J78" s="164"/>
      <c r="K78" s="164"/>
      <c r="L78" s="164"/>
      <c r="M78" s="171">
        <v>131963.49</v>
      </c>
      <c r="N78" s="171">
        <v>131963.49</v>
      </c>
    </row>
    <row r="79" hidden="1" spans="1:14">
      <c r="A79" s="163" t="s">
        <v>66</v>
      </c>
      <c r="B79" s="164">
        <v>8171</v>
      </c>
      <c r="C79" s="164"/>
      <c r="D79" s="164"/>
      <c r="E79" s="164"/>
      <c r="F79" s="164"/>
      <c r="G79" s="164"/>
      <c r="H79" s="164"/>
      <c r="I79" s="164"/>
      <c r="J79" s="164"/>
      <c r="K79" s="164"/>
      <c r="L79" s="164"/>
      <c r="M79" s="171">
        <v>96593.28</v>
      </c>
      <c r="N79" s="171">
        <v>96593.28</v>
      </c>
    </row>
    <row r="80" hidden="1" spans="1:14">
      <c r="A80" s="163" t="s">
        <v>67</v>
      </c>
      <c r="B80" s="164">
        <v>1260</v>
      </c>
      <c r="C80" s="164"/>
      <c r="D80" s="164"/>
      <c r="E80" s="164"/>
      <c r="F80" s="164"/>
      <c r="G80" s="164"/>
      <c r="H80" s="164"/>
      <c r="I80" s="164"/>
      <c r="J80" s="164"/>
      <c r="K80" s="164"/>
      <c r="L80" s="164"/>
      <c r="M80" s="171">
        <v>91006.35</v>
      </c>
      <c r="N80" s="171">
        <v>91006.35</v>
      </c>
    </row>
    <row r="81" hidden="1" spans="1:14">
      <c r="A81" s="163" t="s">
        <v>81</v>
      </c>
      <c r="B81" s="164">
        <v>2707</v>
      </c>
      <c r="C81" s="164"/>
      <c r="D81" s="164"/>
      <c r="E81" s="164"/>
      <c r="F81" s="164"/>
      <c r="G81" s="164"/>
      <c r="H81" s="164"/>
      <c r="I81" s="164"/>
      <c r="J81" s="164"/>
      <c r="K81" s="164"/>
      <c r="L81" s="164"/>
      <c r="M81" s="171">
        <v>88145.11</v>
      </c>
      <c r="N81" s="171">
        <v>88145.11</v>
      </c>
    </row>
    <row r="82" hidden="1" spans="1:14">
      <c r="A82" s="163" t="s">
        <v>69</v>
      </c>
      <c r="B82" s="164">
        <v>6301</v>
      </c>
      <c r="C82" s="164"/>
      <c r="D82" s="164"/>
      <c r="E82" s="164"/>
      <c r="F82" s="164"/>
      <c r="G82" s="164"/>
      <c r="H82" s="164"/>
      <c r="I82" s="164"/>
      <c r="J82" s="164"/>
      <c r="K82" s="164"/>
      <c r="L82" s="164"/>
      <c r="M82" s="171">
        <v>71527.7</v>
      </c>
      <c r="N82" s="171">
        <v>71527.7</v>
      </c>
    </row>
    <row r="83" hidden="1" spans="1:14">
      <c r="A83" s="163" t="s">
        <v>82</v>
      </c>
      <c r="B83" s="164">
        <v>2174</v>
      </c>
      <c r="C83" s="164"/>
      <c r="D83" s="164"/>
      <c r="E83" s="164"/>
      <c r="F83" s="164"/>
      <c r="G83" s="164"/>
      <c r="H83" s="164"/>
      <c r="I83" s="164"/>
      <c r="J83" s="164"/>
      <c r="K83" s="164"/>
      <c r="L83" s="164"/>
      <c r="M83" s="171">
        <v>62706.55</v>
      </c>
      <c r="N83" s="171">
        <v>62706.55</v>
      </c>
    </row>
    <row r="84" hidden="1" spans="1:14">
      <c r="M84" s="179">
        <f>SUM(M76:M83)</f>
        <v>929759.13</v>
      </c>
      <c r="N84" s="179">
        <f>SUM(N76:N83)</f>
        <v>776279.62</v>
      </c>
    </row>
  </sheetData>
  <mergeCells count="49">
    <mergeCell ref="A4:N4"/>
    <mergeCell ref="C6:F6"/>
    <mergeCell ref="G6:I6"/>
    <mergeCell ref="J6:L6"/>
    <mergeCell ref="M7:N7"/>
    <mergeCell ref="M8:N8"/>
    <mergeCell ref="M9:N9"/>
    <mergeCell ref="M10:N10"/>
    <mergeCell ref="M11:N11"/>
    <mergeCell ref="M12:N12"/>
    <mergeCell ref="M13:N13"/>
    <mergeCell ref="M14:N14"/>
    <mergeCell ref="M15:N15"/>
    <mergeCell ref="M16:N16"/>
    <mergeCell ref="M17:N17"/>
    <mergeCell ref="A20:N20"/>
    <mergeCell ref="C22:F22"/>
    <mergeCell ref="G22:I22"/>
    <mergeCell ref="J22:L22"/>
    <mergeCell ref="M23:N23"/>
    <mergeCell ref="M24:N24"/>
    <mergeCell ref="M25:N25"/>
    <mergeCell ref="M26:N26"/>
    <mergeCell ref="M27:N27"/>
    <mergeCell ref="M28:N28"/>
    <mergeCell ref="M29:N29"/>
    <mergeCell ref="M30:N30"/>
    <mergeCell ref="M31:N31"/>
    <mergeCell ref="M32:N32"/>
    <mergeCell ref="M33:N33"/>
    <mergeCell ref="M34:N34"/>
    <mergeCell ref="A37:N37"/>
    <mergeCell ref="C39:F39"/>
    <mergeCell ref="G39:I39"/>
    <mergeCell ref="J39:L39"/>
    <mergeCell ref="M40:N40"/>
    <mergeCell ref="M41:N41"/>
    <mergeCell ref="M42:N42"/>
    <mergeCell ref="M43:N43"/>
    <mergeCell ref="M44:N44"/>
    <mergeCell ref="M45:N45"/>
    <mergeCell ref="M46:N46"/>
    <mergeCell ref="A49:N49"/>
    <mergeCell ref="C51:F51"/>
    <mergeCell ref="G52:N52"/>
    <mergeCell ref="G55:N55"/>
    <mergeCell ref="G56:N56"/>
    <mergeCell ref="G57:N57"/>
    <mergeCell ref="G53:N54"/>
  </mergeCells>
  <pageMargins left="0.7" right="0.7" top="0.75" bottom="0.75" header="0.3" footer="0.3"/>
  <pageSetup paperSize="1" scale="44" orientation="portrait"/>
  <headerFooter>
    <oddFooter>&amp;L&amp;1#&amp;"Calibri"&amp;10&amp;K000000John Keells Group - Confidential</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399426252021851"/>
  </sheetPr>
  <dimension ref="A2:P61"/>
  <sheetViews>
    <sheetView view="pageBreakPreview" zoomScale="90" zoomScaleNormal="100" workbookViewId="0">
      <selection activeCell="C28" sqref="C28"/>
    </sheetView>
  </sheetViews>
  <sheetFormatPr defaultColWidth="9" defaultRowHeight="14.4"/>
  <cols>
    <col min="1" max="1" width="31.3703703703704" customWidth="1"/>
    <col min="2" max="2" width="9.37037037037037" customWidth="1"/>
    <col min="3" max="3" width="11.8796296296296" customWidth="1"/>
    <col min="4" max="5" width="11.1203703703704" customWidth="1"/>
    <col min="6" max="6" width="11.75" customWidth="1"/>
    <col min="7" max="8" width="12.1203703703704" customWidth="1"/>
    <col min="9" max="9" width="11.1203703703704" customWidth="1"/>
    <col min="10" max="12" width="12.1203703703704" customWidth="1"/>
    <col min="13" max="13" width="21.1203703703704" customWidth="1"/>
    <col min="14" max="14" width="21.75" customWidth="1"/>
    <col min="15" max="15" width="16.8796296296296" hidden="1" customWidth="1"/>
    <col min="16" max="16" width="16.6296296296296" customWidth="1"/>
    <col min="17" max="17" width="12.75" customWidth="1"/>
    <col min="18" max="18" width="14.3703703703704" customWidth="1"/>
    <col min="19" max="19" width="21" customWidth="1"/>
  </cols>
  <sheetData>
    <row r="2" s="95" customFormat="1" spans="1:14">
      <c r="A2" s="106" t="s">
        <v>17</v>
      </c>
      <c r="B2" s="106"/>
      <c r="C2" s="106"/>
      <c r="D2" s="106"/>
      <c r="E2" s="106"/>
      <c r="F2" s="106"/>
      <c r="G2" s="106"/>
      <c r="H2" s="106"/>
      <c r="I2" s="106"/>
      <c r="J2" s="106"/>
      <c r="K2" s="106"/>
      <c r="L2" s="106"/>
      <c r="M2" s="106"/>
      <c r="N2" s="106"/>
    </row>
    <row r="4" ht="11.25" customHeight="1" spans="1:14">
      <c r="N4" s="496"/>
    </row>
    <row r="5" ht="15.75" customHeight="1" spans="1:14">
      <c r="C5" s="107" t="s">
        <v>18</v>
      </c>
      <c r="D5" s="107"/>
      <c r="E5" s="107"/>
      <c r="F5" s="108"/>
      <c r="G5" s="109" t="s">
        <v>19</v>
      </c>
      <c r="H5" s="110"/>
      <c r="I5" s="111"/>
      <c r="J5" s="109" t="s">
        <v>20</v>
      </c>
      <c r="K5" s="110"/>
      <c r="L5" s="111"/>
    </row>
    <row r="6" ht="15.75" customHeight="1" spans="1:14">
      <c r="A6" s="114" t="s">
        <v>21</v>
      </c>
      <c r="B6" s="114" t="s">
        <v>22</v>
      </c>
      <c r="C6" s="113">
        <v>43851</v>
      </c>
      <c r="D6" s="114" t="s">
        <v>23</v>
      </c>
      <c r="E6" s="114" t="s">
        <v>24</v>
      </c>
      <c r="F6" s="114" t="s">
        <v>25</v>
      </c>
      <c r="G6" s="113">
        <v>43851</v>
      </c>
      <c r="H6" s="114" t="s">
        <v>26</v>
      </c>
      <c r="I6" s="114" t="s">
        <v>27</v>
      </c>
      <c r="J6" s="113">
        <v>43851</v>
      </c>
      <c r="K6" s="114" t="s">
        <v>26</v>
      </c>
      <c r="L6" s="114" t="s">
        <v>27</v>
      </c>
      <c r="M6" s="497" t="s">
        <v>28</v>
      </c>
      <c r="N6" s="497"/>
    </row>
    <row r="7" s="29" customFormat="1" ht="15.75" customHeight="1" spans="1:14">
      <c r="A7" s="498" t="s">
        <v>83</v>
      </c>
      <c r="B7" s="117">
        <v>2358</v>
      </c>
      <c r="C7" s="122">
        <v>17593.9</v>
      </c>
      <c r="D7" s="120">
        <v>17395.38</v>
      </c>
      <c r="E7" s="499">
        <v>0</v>
      </c>
      <c r="F7" s="500">
        <v>-17395.38</v>
      </c>
      <c r="G7" s="45">
        <v>55000</v>
      </c>
      <c r="H7" s="45">
        <v>99000</v>
      </c>
      <c r="I7" s="45">
        <v>58000</v>
      </c>
      <c r="J7" s="45">
        <v>755</v>
      </c>
      <c r="K7" s="45">
        <v>1099</v>
      </c>
      <c r="L7" s="45">
        <v>986</v>
      </c>
      <c r="M7" s="256" t="s">
        <v>84</v>
      </c>
      <c r="N7" s="258"/>
    </row>
    <row r="8" s="29" customFormat="1" ht="15.75" customHeight="1" spans="1:14">
      <c r="A8" s="498" t="s">
        <v>85</v>
      </c>
      <c r="B8" s="117">
        <v>412</v>
      </c>
      <c r="C8" s="122">
        <v>1980.45</v>
      </c>
      <c r="D8" s="120">
        <v>10974.62</v>
      </c>
      <c r="E8" s="499">
        <v>0</v>
      </c>
      <c r="F8" s="500">
        <v>-10974.62</v>
      </c>
      <c r="G8" s="45">
        <v>5000</v>
      </c>
      <c r="H8" s="45">
        <v>20000</v>
      </c>
      <c r="I8" s="45">
        <v>10000</v>
      </c>
      <c r="J8" s="45">
        <v>241</v>
      </c>
      <c r="K8" s="45">
        <v>276</v>
      </c>
      <c r="L8" s="45">
        <v>364</v>
      </c>
      <c r="M8" s="256" t="s">
        <v>84</v>
      </c>
      <c r="N8" s="258"/>
    </row>
    <row r="9" s="29" customFormat="1" ht="15.75" customHeight="1" spans="1:14">
      <c r="A9" s="498" t="s">
        <v>86</v>
      </c>
      <c r="B9" s="117">
        <v>6455</v>
      </c>
      <c r="C9" s="122">
        <v>7506.85</v>
      </c>
      <c r="D9" s="120">
        <v>8498.82</v>
      </c>
      <c r="E9" s="499">
        <v>0</v>
      </c>
      <c r="F9" s="500">
        <v>-8498.82</v>
      </c>
      <c r="G9" s="45">
        <v>12000</v>
      </c>
      <c r="H9" s="45">
        <v>30000</v>
      </c>
      <c r="I9" s="45">
        <v>20000</v>
      </c>
      <c r="J9" s="45">
        <v>150</v>
      </c>
      <c r="K9" s="45">
        <v>261</v>
      </c>
      <c r="L9" s="45">
        <v>410</v>
      </c>
      <c r="M9" s="256" t="s">
        <v>84</v>
      </c>
      <c r="N9" s="258"/>
    </row>
    <row r="10" s="29" customFormat="1" ht="15.75" customHeight="1" spans="1:14">
      <c r="A10" s="498" t="s">
        <v>87</v>
      </c>
      <c r="B10" s="117">
        <v>2199</v>
      </c>
      <c r="C10" s="122" t="s">
        <v>88</v>
      </c>
      <c r="D10" s="120">
        <v>7569.12</v>
      </c>
      <c r="E10" s="499">
        <v>0</v>
      </c>
      <c r="F10" s="500">
        <v>-7569.12</v>
      </c>
      <c r="G10" s="45">
        <v>0</v>
      </c>
      <c r="H10" s="45">
        <v>15000</v>
      </c>
      <c r="I10" s="45">
        <v>10000</v>
      </c>
      <c r="J10" s="45">
        <v>156</v>
      </c>
      <c r="K10" s="45">
        <v>126</v>
      </c>
      <c r="L10" s="45">
        <v>236</v>
      </c>
      <c r="M10" s="501" t="s">
        <v>34</v>
      </c>
      <c r="N10" s="501"/>
    </row>
    <row r="11" s="29" customFormat="1" ht="15.75" customHeight="1" spans="1:14">
      <c r="A11" s="498" t="s">
        <v>89</v>
      </c>
      <c r="B11" s="117">
        <v>94</v>
      </c>
      <c r="C11" s="122">
        <v>40443.43</v>
      </c>
      <c r="D11" s="120">
        <v>6570.54</v>
      </c>
      <c r="E11" s="499">
        <v>0</v>
      </c>
      <c r="F11" s="500">
        <v>-6570.54</v>
      </c>
      <c r="G11" s="45">
        <v>60000</v>
      </c>
      <c r="H11" s="45">
        <v>79000</v>
      </c>
      <c r="I11" s="45">
        <v>50000</v>
      </c>
      <c r="J11" s="45">
        <v>327</v>
      </c>
      <c r="K11" s="45">
        <v>892</v>
      </c>
      <c r="L11" s="45">
        <v>650</v>
      </c>
      <c r="M11" s="256" t="s">
        <v>84</v>
      </c>
      <c r="N11" s="258"/>
    </row>
    <row r="12" s="29" customFormat="1" ht="15.75" customHeight="1" spans="1:14">
      <c r="A12" s="498" t="s">
        <v>90</v>
      </c>
      <c r="B12" s="117">
        <v>6767</v>
      </c>
      <c r="C12" s="122">
        <v>5375.5</v>
      </c>
      <c r="D12" s="120">
        <v>6543.52</v>
      </c>
      <c r="E12" s="499">
        <v>0</v>
      </c>
      <c r="F12" s="500">
        <v>-6543.52</v>
      </c>
      <c r="G12" s="45">
        <v>0</v>
      </c>
      <c r="H12" s="45">
        <v>12000</v>
      </c>
      <c r="I12" s="45">
        <v>12000</v>
      </c>
      <c r="J12" s="45">
        <v>0</v>
      </c>
      <c r="K12" s="45">
        <v>126</v>
      </c>
      <c r="L12" s="45">
        <v>212</v>
      </c>
      <c r="M12" s="502" t="s">
        <v>91</v>
      </c>
      <c r="N12" s="502"/>
    </row>
    <row r="13" s="29" customFormat="1" ht="15.75" customHeight="1" spans="1:14">
      <c r="A13" s="498" t="s">
        <v>92</v>
      </c>
      <c r="B13" s="117">
        <v>2664</v>
      </c>
      <c r="C13" s="122">
        <v>5481.55</v>
      </c>
      <c r="D13" s="120">
        <v>6131.86</v>
      </c>
      <c r="E13" s="499">
        <v>0</v>
      </c>
      <c r="F13" s="500">
        <v>-6131.86</v>
      </c>
      <c r="G13" s="45">
        <v>0</v>
      </c>
      <c r="H13" s="45">
        <v>5000</v>
      </c>
      <c r="I13" s="45">
        <v>5000</v>
      </c>
      <c r="J13" s="45">
        <v>0</v>
      </c>
      <c r="K13" s="45">
        <v>53</v>
      </c>
      <c r="L13" s="45">
        <v>171</v>
      </c>
      <c r="M13" s="502" t="s">
        <v>91</v>
      </c>
      <c r="N13" s="502"/>
    </row>
    <row r="14" s="29" customFormat="1" ht="15.75" customHeight="1" spans="1:14">
      <c r="A14" s="498" t="s">
        <v>93</v>
      </c>
      <c r="B14" s="117">
        <v>6328</v>
      </c>
      <c r="C14" s="122">
        <v>4115.5</v>
      </c>
      <c r="D14" s="120">
        <v>6093.89</v>
      </c>
      <c r="E14" s="499">
        <v>0</v>
      </c>
      <c r="F14" s="500">
        <v>-6093.89</v>
      </c>
      <c r="G14" s="45">
        <v>0</v>
      </c>
      <c r="H14" s="45">
        <v>10000</v>
      </c>
      <c r="I14" s="45">
        <v>8500</v>
      </c>
      <c r="J14" s="45">
        <v>20</v>
      </c>
      <c r="K14" s="45">
        <v>57</v>
      </c>
      <c r="L14" s="45">
        <v>146</v>
      </c>
      <c r="M14" s="256" t="s">
        <v>84</v>
      </c>
      <c r="N14" s="258"/>
    </row>
    <row r="15" s="29" customFormat="1" ht="15.75" customHeight="1" spans="1:14">
      <c r="A15" s="498" t="s">
        <v>94</v>
      </c>
      <c r="B15" s="117">
        <v>6526</v>
      </c>
      <c r="C15" s="122">
        <v>12595.5</v>
      </c>
      <c r="D15" s="120">
        <v>6065.01</v>
      </c>
      <c r="E15" s="499">
        <v>0</v>
      </c>
      <c r="F15" s="500">
        <v>-6065.01</v>
      </c>
      <c r="G15" s="45">
        <v>18000</v>
      </c>
      <c r="H15" s="45">
        <v>32000</v>
      </c>
      <c r="I15" s="45">
        <v>27000</v>
      </c>
      <c r="J15" s="45">
        <v>119</v>
      </c>
      <c r="K15" s="45">
        <v>313</v>
      </c>
      <c r="L15" s="45">
        <v>427</v>
      </c>
      <c r="M15" s="256" t="s">
        <v>84</v>
      </c>
      <c r="N15" s="258"/>
    </row>
    <row r="16" ht="15.75" customHeight="1" spans="1:14">
      <c r="A16" s="97"/>
      <c r="B16" s="97"/>
      <c r="C16" s="97"/>
      <c r="D16" s="97"/>
      <c r="N16" s="496"/>
    </row>
    <row r="17" ht="15.75" customHeight="1" spans="1:16">
      <c r="A17" s="97"/>
      <c r="B17" s="97"/>
      <c r="C17" s="97"/>
      <c r="D17" s="97"/>
      <c r="N17" s="496"/>
    </row>
    <row r="18" spans="1:16">
      <c r="A18" s="106" t="s">
        <v>58</v>
      </c>
      <c r="B18" s="106"/>
      <c r="C18" s="106"/>
      <c r="D18" s="106"/>
      <c r="E18" s="106"/>
      <c r="F18" s="106"/>
      <c r="G18" s="106"/>
      <c r="H18" s="106"/>
      <c r="I18" s="106"/>
      <c r="J18" s="106"/>
      <c r="K18" s="106"/>
      <c r="L18" s="106"/>
      <c r="M18" s="106"/>
      <c r="N18" s="106"/>
    </row>
    <row r="20" spans="1:16">
      <c r="C20" s="107" t="s">
        <v>18</v>
      </c>
      <c r="D20" s="107"/>
      <c r="E20" s="107"/>
      <c r="F20" s="108"/>
      <c r="G20" s="109" t="s">
        <v>19</v>
      </c>
      <c r="H20" s="110"/>
      <c r="I20" s="111"/>
      <c r="J20" s="109" t="s">
        <v>20</v>
      </c>
      <c r="K20" s="110"/>
      <c r="L20" s="111"/>
    </row>
    <row r="21" spans="1:16">
      <c r="A21" s="112" t="s">
        <v>21</v>
      </c>
      <c r="B21" s="112" t="s">
        <v>22</v>
      </c>
      <c r="C21" s="113">
        <v>43851</v>
      </c>
      <c r="D21" s="114" t="s">
        <v>23</v>
      </c>
      <c r="E21" s="114" t="s">
        <v>24</v>
      </c>
      <c r="F21" s="114" t="s">
        <v>25</v>
      </c>
      <c r="G21" s="113">
        <v>43851</v>
      </c>
      <c r="H21" s="114" t="s">
        <v>26</v>
      </c>
      <c r="I21" s="114" t="s">
        <v>27</v>
      </c>
      <c r="J21" s="113">
        <v>43851</v>
      </c>
      <c r="K21" s="114" t="s">
        <v>26</v>
      </c>
      <c r="L21" s="114" t="s">
        <v>27</v>
      </c>
      <c r="M21" s="271" t="s">
        <v>28</v>
      </c>
      <c r="N21" s="272"/>
      <c r="O21" s="127" t="s">
        <v>95</v>
      </c>
      <c r="P21" s="503"/>
    </row>
    <row r="22" s="96" customFormat="1" ht="32.25" customHeight="1" spans="1:16">
      <c r="A22" s="498" t="s">
        <v>96</v>
      </c>
      <c r="B22" s="117">
        <v>106</v>
      </c>
      <c r="C22" s="122">
        <v>71529</v>
      </c>
      <c r="D22" s="120">
        <v>1466.63</v>
      </c>
      <c r="E22" s="120">
        <v>405422.39</v>
      </c>
      <c r="F22" s="131">
        <f>E22-D22</f>
        <v>403955.76</v>
      </c>
      <c r="G22" s="121">
        <v>75000</v>
      </c>
      <c r="H22" s="120">
        <v>45000</v>
      </c>
      <c r="I22" s="120">
        <v>130000</v>
      </c>
      <c r="J22" s="120">
        <v>792</v>
      </c>
      <c r="K22" s="122">
        <v>1269</v>
      </c>
      <c r="L22" s="122">
        <v>1363</v>
      </c>
      <c r="M22" s="504" t="s">
        <v>97</v>
      </c>
      <c r="N22" s="505"/>
      <c r="O22" s="116">
        <v>311197.5</v>
      </c>
      <c r="P22" s="506" t="s">
        <v>98</v>
      </c>
    </row>
    <row r="23" s="96" customFormat="1" spans="1:16">
      <c r="A23" s="498" t="s">
        <v>99</v>
      </c>
      <c r="B23" s="117">
        <v>93</v>
      </c>
      <c r="C23" s="122">
        <v>351328.77</v>
      </c>
      <c r="D23" s="120">
        <v>268854.77</v>
      </c>
      <c r="E23" s="120">
        <v>298985.23</v>
      </c>
      <c r="F23" s="131">
        <f t="shared" ref="F23:F28" si="0">E23-D23</f>
        <v>30130.46</v>
      </c>
      <c r="G23" s="131">
        <v>150000</v>
      </c>
      <c r="H23" s="120">
        <v>115000</v>
      </c>
      <c r="I23" s="120">
        <v>150000</v>
      </c>
      <c r="J23" s="120">
        <v>1612</v>
      </c>
      <c r="K23" s="122">
        <v>2200</v>
      </c>
      <c r="L23" s="122">
        <v>3044</v>
      </c>
      <c r="M23" s="507" t="s">
        <v>50</v>
      </c>
      <c r="N23" s="507"/>
      <c r="O23" s="116">
        <v>253549.61</v>
      </c>
      <c r="P23" s="506" t="s">
        <v>100</v>
      </c>
    </row>
    <row r="24" s="96" customFormat="1" spans="1:16">
      <c r="A24" s="498" t="s">
        <v>101</v>
      </c>
      <c r="B24" s="117">
        <v>6597</v>
      </c>
      <c r="C24" s="122">
        <v>186131.73</v>
      </c>
      <c r="D24" s="120">
        <v>188940.54</v>
      </c>
      <c r="E24" s="120">
        <v>215279.52</v>
      </c>
      <c r="F24" s="131">
        <f t="shared" si="0"/>
        <v>26338.98</v>
      </c>
      <c r="G24" s="131">
        <v>0</v>
      </c>
      <c r="H24" s="120">
        <v>0</v>
      </c>
      <c r="I24" s="120">
        <v>0</v>
      </c>
      <c r="J24" s="120">
        <v>0</v>
      </c>
      <c r="K24" s="122">
        <v>303</v>
      </c>
      <c r="L24" s="122">
        <v>80</v>
      </c>
      <c r="M24" s="507" t="s">
        <v>102</v>
      </c>
      <c r="N24" s="507"/>
      <c r="O24" s="116">
        <v>256679.54</v>
      </c>
      <c r="P24" s="506"/>
    </row>
    <row r="25" s="96" customFormat="1" ht="30" customHeight="1" spans="1:16">
      <c r="A25" s="498" t="s">
        <v>103</v>
      </c>
      <c r="B25" s="117">
        <v>317</v>
      </c>
      <c r="C25" s="122">
        <v>161353.12</v>
      </c>
      <c r="D25" s="120">
        <v>128001.47</v>
      </c>
      <c r="E25" s="120">
        <v>120199.29</v>
      </c>
      <c r="F25" s="121">
        <f t="shared" si="0"/>
        <v>-7802.18000000001</v>
      </c>
      <c r="G25" s="121">
        <v>0</v>
      </c>
      <c r="H25" s="120">
        <v>0</v>
      </c>
      <c r="I25" s="120">
        <v>0</v>
      </c>
      <c r="J25" s="120">
        <v>0</v>
      </c>
      <c r="K25" s="122">
        <v>5</v>
      </c>
      <c r="L25" s="122">
        <v>38</v>
      </c>
      <c r="M25" s="508" t="s">
        <v>104</v>
      </c>
      <c r="N25" s="509"/>
      <c r="O25" s="116">
        <v>121259.26</v>
      </c>
      <c r="P25" s="506"/>
    </row>
    <row r="26" s="96" customFormat="1" spans="1:16">
      <c r="A26" s="498" t="s">
        <v>105</v>
      </c>
      <c r="B26" s="117">
        <v>6610</v>
      </c>
      <c r="C26" s="122">
        <v>105246.91</v>
      </c>
      <c r="D26" s="120">
        <v>105370.15</v>
      </c>
      <c r="E26" s="120">
        <v>106509.87</v>
      </c>
      <c r="F26" s="131">
        <f t="shared" si="0"/>
        <v>1139.72</v>
      </c>
      <c r="G26" s="131">
        <v>0</v>
      </c>
      <c r="H26" s="120">
        <v>0</v>
      </c>
      <c r="I26" s="120">
        <v>0</v>
      </c>
      <c r="J26" s="120">
        <v>0</v>
      </c>
      <c r="K26" s="122">
        <v>12</v>
      </c>
      <c r="L26" s="122">
        <v>19</v>
      </c>
      <c r="M26" s="507" t="s">
        <v>106</v>
      </c>
      <c r="N26" s="507"/>
      <c r="O26" s="116">
        <v>130047.85</v>
      </c>
      <c r="P26" s="506"/>
    </row>
    <row r="27" s="96" customFormat="1" spans="1:16">
      <c r="A27" s="510" t="s">
        <v>107</v>
      </c>
      <c r="B27" s="137">
        <v>216</v>
      </c>
      <c r="C27" s="196">
        <v>71744.5</v>
      </c>
      <c r="D27" s="120">
        <v>69095.51</v>
      </c>
      <c r="E27" s="120">
        <v>69571.94</v>
      </c>
      <c r="F27" s="131">
        <f t="shared" si="0"/>
        <v>476.430000000008</v>
      </c>
      <c r="G27" s="131">
        <v>20000</v>
      </c>
      <c r="H27" s="511">
        <v>20000</v>
      </c>
      <c r="I27" s="511">
        <v>10000</v>
      </c>
      <c r="J27" s="120"/>
      <c r="K27" s="196"/>
      <c r="L27" s="196">
        <v>341</v>
      </c>
      <c r="M27" s="507" t="s">
        <v>50</v>
      </c>
      <c r="N27" s="507"/>
      <c r="O27" s="512">
        <v>81674.4</v>
      </c>
      <c r="P27" s="506"/>
    </row>
    <row r="28" s="493" customFormat="1" spans="1:16">
      <c r="A28" s="513" t="s">
        <v>108</v>
      </c>
      <c r="B28" s="117">
        <v>285</v>
      </c>
      <c r="C28" s="122">
        <v>47240.34</v>
      </c>
      <c r="D28" s="120">
        <v>46176.04</v>
      </c>
      <c r="E28" s="120">
        <v>21059.82</v>
      </c>
      <c r="F28" s="121">
        <f t="shared" si="0"/>
        <v>-25116.22</v>
      </c>
      <c r="G28" s="131"/>
      <c r="H28" s="119">
        <v>35000</v>
      </c>
      <c r="I28" s="119">
        <v>23000</v>
      </c>
      <c r="J28" s="120">
        <v>422</v>
      </c>
      <c r="K28" s="122">
        <v>510</v>
      </c>
      <c r="L28" s="122">
        <v>797</v>
      </c>
      <c r="M28" s="514" t="s">
        <v>30</v>
      </c>
      <c r="N28" s="514"/>
      <c r="O28" s="515">
        <v>70398.42</v>
      </c>
      <c r="P28" s="506"/>
    </row>
    <row r="29" s="96" customFormat="1" ht="30.75" customHeight="1" spans="1:16">
      <c r="A29" s="498" t="s">
        <v>109</v>
      </c>
      <c r="B29" s="117">
        <v>2547</v>
      </c>
      <c r="C29" s="122">
        <v>35481.14</v>
      </c>
      <c r="D29" s="120">
        <v>31830.6</v>
      </c>
      <c r="E29" s="120">
        <v>23039.04</v>
      </c>
      <c r="F29" s="121">
        <f t="shared" ref="F29:F31" si="1">E29-D29</f>
        <v>-8791.56</v>
      </c>
      <c r="G29" s="121">
        <v>0</v>
      </c>
      <c r="H29" s="120">
        <v>0</v>
      </c>
      <c r="I29" s="120">
        <v>20000</v>
      </c>
      <c r="J29" s="120">
        <v>242</v>
      </c>
      <c r="K29" s="120">
        <v>222</v>
      </c>
      <c r="L29" s="120">
        <v>304</v>
      </c>
      <c r="M29" s="187" t="s">
        <v>110</v>
      </c>
      <c r="N29" s="187"/>
    </row>
    <row r="30" s="96" customFormat="1" ht="15.75" customHeight="1" spans="1:16">
      <c r="A30" s="498" t="s">
        <v>111</v>
      </c>
      <c r="B30" s="117">
        <v>6602</v>
      </c>
      <c r="C30" s="122">
        <v>0</v>
      </c>
      <c r="D30" s="120">
        <v>2180.24</v>
      </c>
      <c r="E30" s="120">
        <v>11590.02</v>
      </c>
      <c r="F30" s="516">
        <f t="shared" si="1"/>
        <v>9409.78</v>
      </c>
      <c r="G30" s="500">
        <v>0</v>
      </c>
      <c r="H30" s="120">
        <v>17000</v>
      </c>
      <c r="I30" s="120">
        <v>40000</v>
      </c>
      <c r="J30" s="120">
        <v>33</v>
      </c>
      <c r="K30" s="120">
        <v>337</v>
      </c>
      <c r="L30" s="120">
        <v>358</v>
      </c>
      <c r="M30" s="501" t="s">
        <v>34</v>
      </c>
      <c r="N30" s="501"/>
    </row>
    <row r="31" s="96" customFormat="1" ht="15.75" customHeight="1" spans="1:16">
      <c r="A31" s="498" t="s">
        <v>112</v>
      </c>
      <c r="B31" s="117">
        <v>72</v>
      </c>
      <c r="C31" s="122">
        <v>0</v>
      </c>
      <c r="D31" s="120">
        <v>4498.79</v>
      </c>
      <c r="E31" s="120">
        <v>8201.91</v>
      </c>
      <c r="F31" s="516">
        <f t="shared" si="1"/>
        <v>3703.12</v>
      </c>
      <c r="G31" s="500">
        <v>5000</v>
      </c>
      <c r="H31" s="120">
        <v>7000</v>
      </c>
      <c r="I31" s="120">
        <v>19000</v>
      </c>
      <c r="J31" s="120">
        <v>159</v>
      </c>
      <c r="K31" s="120">
        <v>122</v>
      </c>
      <c r="L31" s="120">
        <v>189</v>
      </c>
      <c r="M31" s="501" t="s">
        <v>34</v>
      </c>
      <c r="N31" s="501"/>
    </row>
    <row r="32" s="97" customFormat="1" ht="15.15" spans="1:16">
      <c r="D32" s="517">
        <f>SUM(D22:D31)</f>
        <v>846414.74</v>
      </c>
      <c r="E32" s="517">
        <f>SUM(E22:E31)</f>
        <v>1279859.03</v>
      </c>
      <c r="F32" s="518"/>
      <c r="G32" s="518"/>
    </row>
    <row r="33" ht="15.15"/>
    <row r="34" spans="1:15">
      <c r="A34" s="106" t="s">
        <v>70</v>
      </c>
      <c r="B34" s="106"/>
      <c r="C34" s="106"/>
      <c r="D34" s="106"/>
      <c r="E34" s="106"/>
      <c r="F34" s="106"/>
      <c r="G34" s="106"/>
      <c r="H34" s="106"/>
      <c r="I34" s="106"/>
      <c r="J34" s="106"/>
      <c r="K34" s="106"/>
      <c r="L34" s="106"/>
      <c r="M34" s="106"/>
      <c r="N34" s="106"/>
    </row>
    <row r="36" spans="1:15">
      <c r="C36" s="107" t="s">
        <v>18</v>
      </c>
      <c r="D36" s="107"/>
      <c r="E36" s="107"/>
      <c r="F36" s="108"/>
      <c r="G36" s="251"/>
    </row>
    <row r="37" ht="30" customHeight="1" spans="1:15">
      <c r="A37" s="112" t="s">
        <v>21</v>
      </c>
      <c r="B37" s="112" t="s">
        <v>22</v>
      </c>
      <c r="C37" s="113">
        <v>43851</v>
      </c>
      <c r="D37" s="112" t="s">
        <v>23</v>
      </c>
      <c r="E37" s="112" t="s">
        <v>24</v>
      </c>
      <c r="F37" s="150" t="s">
        <v>25</v>
      </c>
      <c r="G37" s="519" t="s">
        <v>28</v>
      </c>
      <c r="H37" s="520"/>
      <c r="I37" s="520"/>
      <c r="J37" s="520"/>
      <c r="K37" s="520"/>
      <c r="L37" s="520"/>
      <c r="M37" s="520"/>
      <c r="N37" s="521"/>
      <c r="O37" s="127" t="s">
        <v>95</v>
      </c>
    </row>
    <row r="38" s="96" customFormat="1" ht="15" customHeight="1" spans="1:15">
      <c r="A38" s="128" t="s">
        <v>113</v>
      </c>
      <c r="B38" s="117">
        <v>6099</v>
      </c>
      <c r="C38" s="122">
        <v>114542</v>
      </c>
      <c r="D38" s="120">
        <v>115560.83</v>
      </c>
      <c r="E38" s="120">
        <v>118076</v>
      </c>
      <c r="F38" s="131">
        <f>E38-D38</f>
        <v>2515.17</v>
      </c>
      <c r="G38" s="132" t="s">
        <v>114</v>
      </c>
      <c r="H38" s="199"/>
      <c r="I38" s="199"/>
      <c r="J38" s="199"/>
      <c r="K38" s="199"/>
      <c r="L38" s="199"/>
      <c r="M38" s="199"/>
      <c r="N38" s="133"/>
      <c r="O38" s="116">
        <v>118076</v>
      </c>
    </row>
    <row r="39" s="494" customFormat="1" ht="15" customHeight="1" spans="1:15">
      <c r="A39" s="498" t="s">
        <v>115</v>
      </c>
      <c r="B39" s="522">
        <v>6315</v>
      </c>
      <c r="C39" s="186">
        <v>39735.77</v>
      </c>
      <c r="D39" s="120">
        <v>41842.62</v>
      </c>
      <c r="E39" s="20">
        <v>43002.34</v>
      </c>
      <c r="F39" s="131">
        <f t="shared" ref="F39:F47" si="2">E39-D39</f>
        <v>1159.71999999999</v>
      </c>
      <c r="G39" s="132" t="s">
        <v>116</v>
      </c>
      <c r="H39" s="199"/>
      <c r="I39" s="199"/>
      <c r="J39" s="199"/>
      <c r="K39" s="199"/>
      <c r="L39" s="199"/>
      <c r="M39" s="199"/>
      <c r="N39" s="133"/>
      <c r="O39" s="523">
        <v>48460.07</v>
      </c>
    </row>
    <row r="40" s="96" customFormat="1" ht="15" customHeight="1" spans="1:15">
      <c r="A40" s="128" t="s">
        <v>117</v>
      </c>
      <c r="B40" s="117">
        <v>6357</v>
      </c>
      <c r="C40" s="122">
        <v>41532.45</v>
      </c>
      <c r="D40" s="120">
        <v>41667.42</v>
      </c>
      <c r="E40" s="120">
        <v>42704.28</v>
      </c>
      <c r="F40" s="131">
        <f t="shared" si="2"/>
        <v>1036.86</v>
      </c>
      <c r="G40" s="132" t="s">
        <v>118</v>
      </c>
      <c r="H40" s="199"/>
      <c r="I40" s="199"/>
      <c r="J40" s="199"/>
      <c r="K40" s="199"/>
      <c r="L40" s="199"/>
      <c r="M40" s="199"/>
      <c r="N40" s="133"/>
      <c r="O40" s="116">
        <v>46658.23</v>
      </c>
    </row>
    <row r="41" s="96" customFormat="1" ht="15" customHeight="1" spans="1:15">
      <c r="A41" s="128" t="s">
        <v>119</v>
      </c>
      <c r="B41" s="117">
        <v>6217</v>
      </c>
      <c r="C41" s="122">
        <v>39298.12</v>
      </c>
      <c r="D41" s="120">
        <v>39298.12</v>
      </c>
      <c r="E41" s="120">
        <v>39298.12</v>
      </c>
      <c r="F41" s="121">
        <f t="shared" si="2"/>
        <v>0</v>
      </c>
      <c r="G41" s="123" t="s">
        <v>120</v>
      </c>
      <c r="H41" s="198"/>
      <c r="I41" s="198"/>
      <c r="J41" s="198"/>
      <c r="K41" s="198"/>
      <c r="L41" s="198"/>
      <c r="M41" s="198"/>
      <c r="N41" s="124"/>
      <c r="O41" s="116">
        <v>44298.12</v>
      </c>
    </row>
    <row r="42" s="29" customFormat="1" spans="1:15">
      <c r="A42" s="332" t="s">
        <v>121</v>
      </c>
      <c r="B42" s="524">
        <v>3003</v>
      </c>
      <c r="C42" s="241">
        <v>33337.03</v>
      </c>
      <c r="D42" s="120">
        <v>36692.41</v>
      </c>
      <c r="E42" s="120">
        <v>33227.39</v>
      </c>
      <c r="F42" s="121">
        <f t="shared" si="2"/>
        <v>-3465.02</v>
      </c>
      <c r="G42" s="256" t="s">
        <v>122</v>
      </c>
      <c r="H42" s="257"/>
      <c r="I42" s="257"/>
      <c r="J42" s="257"/>
      <c r="K42" s="257"/>
      <c r="L42" s="257"/>
      <c r="M42" s="257"/>
      <c r="N42" s="258"/>
      <c r="O42" s="499">
        <v>19795.39</v>
      </c>
    </row>
    <row r="43" s="96" customFormat="1" ht="15" customHeight="1" spans="1:15">
      <c r="A43" s="128" t="s">
        <v>123</v>
      </c>
      <c r="B43" s="117">
        <v>6174</v>
      </c>
      <c r="C43" s="122">
        <v>21433.52</v>
      </c>
      <c r="D43" s="120">
        <v>21433.52</v>
      </c>
      <c r="E43" s="120">
        <v>21433.52</v>
      </c>
      <c r="F43" s="121">
        <f t="shared" si="2"/>
        <v>0</v>
      </c>
      <c r="G43" s="123" t="s">
        <v>124</v>
      </c>
      <c r="H43" s="198"/>
      <c r="I43" s="198"/>
      <c r="J43" s="198"/>
      <c r="K43" s="198"/>
      <c r="L43" s="198"/>
      <c r="M43" s="198"/>
      <c r="N43" s="124"/>
      <c r="O43" s="116">
        <v>21433.52</v>
      </c>
    </row>
    <row r="44" s="495" customFormat="1" ht="15" customHeight="1" spans="1:15">
      <c r="A44" s="136" t="s">
        <v>125</v>
      </c>
      <c r="B44" s="137">
        <v>6044</v>
      </c>
      <c r="C44" s="196">
        <v>19333.35</v>
      </c>
      <c r="D44" s="120">
        <v>19333.35</v>
      </c>
      <c r="E44" s="120">
        <v>19333.35</v>
      </c>
      <c r="F44" s="121">
        <f t="shared" si="2"/>
        <v>0</v>
      </c>
      <c r="G44" s="123" t="s">
        <v>126</v>
      </c>
      <c r="H44" s="198"/>
      <c r="I44" s="198"/>
      <c r="J44" s="198"/>
      <c r="K44" s="198"/>
      <c r="L44" s="198"/>
      <c r="M44" s="198"/>
      <c r="N44" s="124"/>
      <c r="O44" s="512">
        <v>19333.35</v>
      </c>
    </row>
    <row r="45" s="29" customFormat="1" spans="1:15">
      <c r="A45" s="332" t="s">
        <v>127</v>
      </c>
      <c r="B45" s="524">
        <v>1302</v>
      </c>
      <c r="C45" s="241">
        <v>17753</v>
      </c>
      <c r="D45" s="120">
        <v>17753</v>
      </c>
      <c r="E45" s="120">
        <v>17753</v>
      </c>
      <c r="F45" s="121">
        <f t="shared" si="2"/>
        <v>0</v>
      </c>
      <c r="G45" s="256" t="s">
        <v>128</v>
      </c>
      <c r="H45" s="257"/>
      <c r="I45" s="257"/>
      <c r="J45" s="257"/>
      <c r="K45" s="257"/>
      <c r="L45" s="257"/>
      <c r="M45" s="257"/>
      <c r="N45" s="258"/>
      <c r="O45" s="499">
        <v>17753</v>
      </c>
    </row>
    <row r="46" s="96" customFormat="1" ht="15" customHeight="1" spans="1:15">
      <c r="A46" s="128" t="s">
        <v>129</v>
      </c>
      <c r="B46" s="117">
        <v>6111</v>
      </c>
      <c r="C46" s="122">
        <v>16282.6</v>
      </c>
      <c r="D46" s="120">
        <v>16282.6</v>
      </c>
      <c r="E46" s="120">
        <v>16282.6</v>
      </c>
      <c r="F46" s="121">
        <f t="shared" si="2"/>
        <v>0</v>
      </c>
      <c r="G46" s="123" t="s">
        <v>126</v>
      </c>
      <c r="H46" s="198"/>
      <c r="I46" s="198"/>
      <c r="J46" s="198"/>
      <c r="K46" s="198"/>
      <c r="L46" s="198"/>
      <c r="M46" s="198"/>
      <c r="N46" s="124"/>
      <c r="O46" s="116">
        <v>16282.6</v>
      </c>
    </row>
    <row r="47" s="96" customFormat="1" ht="15" customHeight="1" spans="1:15">
      <c r="A47" s="128" t="s">
        <v>130</v>
      </c>
      <c r="B47" s="117">
        <v>6234</v>
      </c>
      <c r="C47" s="122">
        <v>13650.15</v>
      </c>
      <c r="D47" s="120">
        <v>13650.15</v>
      </c>
      <c r="E47" s="120">
        <v>13650.15</v>
      </c>
      <c r="F47" s="121">
        <f t="shared" si="2"/>
        <v>0</v>
      </c>
      <c r="G47" s="123" t="s">
        <v>131</v>
      </c>
      <c r="H47" s="198"/>
      <c r="I47" s="198"/>
      <c r="J47" s="198"/>
      <c r="K47" s="198"/>
      <c r="L47" s="198"/>
      <c r="M47" s="198"/>
      <c r="N47" s="124"/>
      <c r="O47" s="116">
        <v>13650.15</v>
      </c>
    </row>
    <row r="48" s="97" customFormat="1" ht="15.15" spans="1:15">
      <c r="B48" s="525"/>
      <c r="C48" s="525"/>
      <c r="D48" s="526">
        <f>SUM(D38:D47)</f>
        <v>363514.02</v>
      </c>
      <c r="E48" s="526">
        <f>SUM(E38:E47)</f>
        <v>364760.75</v>
      </c>
      <c r="F48" s="527"/>
      <c r="G48" s="527"/>
      <c r="H48" s="528"/>
      <c r="I48" s="528"/>
      <c r="J48" s="528"/>
      <c r="K48" s="528"/>
      <c r="L48" s="528"/>
      <c r="M48" s="528"/>
      <c r="N48" s="528"/>
      <c r="O48" s="529"/>
    </row>
    <row r="49" ht="15.15"/>
    <row r="52" ht="19.5" hidden="1" customHeight="1" spans="1:15">
      <c r="A52" s="112" t="s">
        <v>21</v>
      </c>
      <c r="B52" s="112" t="s">
        <v>22</v>
      </c>
      <c r="C52" s="112"/>
      <c r="D52" s="150"/>
      <c r="E52" s="150"/>
      <c r="F52" s="150"/>
      <c r="G52" s="150"/>
      <c r="H52" s="150"/>
      <c r="I52" s="150"/>
      <c r="J52" s="150"/>
      <c r="K52" s="150"/>
      <c r="L52" s="150"/>
      <c r="M52" s="150"/>
      <c r="N52" s="150"/>
    </row>
    <row r="53" hidden="1" spans="1:15">
      <c r="A53" s="163" t="s">
        <v>99</v>
      </c>
      <c r="B53" s="164">
        <v>93</v>
      </c>
      <c r="C53" s="164"/>
      <c r="D53" s="171"/>
      <c r="E53" s="171"/>
      <c r="F53" s="171"/>
      <c r="G53" s="171"/>
      <c r="H53" s="171"/>
      <c r="I53" s="171"/>
      <c r="J53" s="171"/>
      <c r="K53" s="171"/>
      <c r="L53" s="171"/>
      <c r="M53" s="171"/>
      <c r="N53" s="171"/>
      <c r="O53" s="182"/>
    </row>
    <row r="54" hidden="1" spans="1:15">
      <c r="A54" s="163" t="s">
        <v>96</v>
      </c>
      <c r="B54" s="164">
        <v>106</v>
      </c>
      <c r="C54" s="164"/>
      <c r="D54" s="171"/>
      <c r="E54" s="171"/>
      <c r="F54" s="171"/>
      <c r="G54" s="171"/>
      <c r="H54" s="171"/>
      <c r="I54" s="171"/>
      <c r="J54" s="171"/>
      <c r="K54" s="171"/>
      <c r="L54" s="171"/>
      <c r="M54" s="171"/>
      <c r="N54" s="171"/>
      <c r="O54" s="182"/>
    </row>
    <row r="55" hidden="1" spans="1:15">
      <c r="A55" s="163" t="s">
        <v>101</v>
      </c>
      <c r="B55" s="164">
        <v>6597</v>
      </c>
      <c r="C55" s="164"/>
      <c r="D55" s="171"/>
      <c r="E55" s="171"/>
      <c r="F55" s="171"/>
      <c r="G55" s="171"/>
      <c r="H55" s="171"/>
      <c r="I55" s="171"/>
      <c r="J55" s="171"/>
      <c r="K55" s="171"/>
      <c r="L55" s="171"/>
      <c r="M55" s="171"/>
      <c r="N55" s="171"/>
      <c r="O55" s="182"/>
    </row>
    <row r="56" hidden="1" spans="1:15">
      <c r="A56" s="163" t="s">
        <v>105</v>
      </c>
      <c r="B56" s="164">
        <v>6610</v>
      </c>
      <c r="C56" s="164"/>
      <c r="D56" s="171"/>
      <c r="E56" s="171"/>
      <c r="F56" s="171"/>
      <c r="G56" s="171"/>
      <c r="H56" s="171"/>
      <c r="I56" s="171"/>
      <c r="J56" s="171"/>
      <c r="K56" s="171"/>
      <c r="L56" s="171"/>
      <c r="M56" s="171"/>
      <c r="N56" s="171"/>
      <c r="O56" s="182"/>
    </row>
    <row r="57" hidden="1" spans="1:15">
      <c r="A57" s="163" t="s">
        <v>42</v>
      </c>
      <c r="B57" s="164">
        <v>401</v>
      </c>
      <c r="C57" s="164"/>
      <c r="D57" s="171"/>
      <c r="E57" s="171"/>
      <c r="F57" s="171"/>
      <c r="G57" s="171"/>
      <c r="H57" s="171"/>
      <c r="I57" s="171"/>
      <c r="J57" s="171"/>
      <c r="K57" s="171"/>
      <c r="L57" s="171"/>
      <c r="M57" s="171"/>
      <c r="N57" s="171"/>
      <c r="O57" s="182"/>
    </row>
    <row r="58" hidden="1" spans="1:15">
      <c r="A58" s="163" t="s">
        <v>107</v>
      </c>
      <c r="B58" s="164">
        <v>216</v>
      </c>
      <c r="C58" s="164"/>
      <c r="D58" s="171"/>
      <c r="E58" s="171"/>
      <c r="F58" s="171"/>
      <c r="G58" s="171"/>
      <c r="H58" s="171"/>
      <c r="I58" s="171"/>
      <c r="J58" s="171"/>
      <c r="K58" s="171"/>
      <c r="L58" s="171"/>
      <c r="M58" s="171"/>
      <c r="N58" s="171"/>
      <c r="O58" s="182"/>
    </row>
    <row r="59" hidden="1" spans="1:15">
      <c r="A59" s="163" t="s">
        <v>108</v>
      </c>
      <c r="B59" s="164">
        <v>285</v>
      </c>
      <c r="C59" s="164"/>
      <c r="D59" s="171"/>
      <c r="E59" s="171"/>
      <c r="F59" s="171"/>
      <c r="G59" s="171"/>
      <c r="H59" s="171"/>
      <c r="I59" s="171"/>
      <c r="J59" s="171"/>
      <c r="K59" s="171"/>
      <c r="L59" s="171"/>
      <c r="M59" s="171"/>
      <c r="N59" s="171"/>
      <c r="O59" s="182"/>
    </row>
    <row r="60" hidden="1" spans="1:15">
      <c r="A60" s="163" t="s">
        <v>103</v>
      </c>
      <c r="B60" s="164">
        <v>317</v>
      </c>
      <c r="C60" s="164"/>
      <c r="D60" s="171"/>
      <c r="E60" s="171"/>
      <c r="F60" s="171"/>
      <c r="G60" s="171"/>
      <c r="H60" s="171"/>
      <c r="I60" s="171"/>
      <c r="J60" s="171"/>
      <c r="K60" s="171"/>
      <c r="L60" s="171"/>
      <c r="M60" s="171"/>
      <c r="N60" s="171"/>
      <c r="O60" s="182"/>
    </row>
    <row r="61" hidden="1" spans="1:15">
      <c r="A61" s="163" t="s">
        <v>132</v>
      </c>
      <c r="B61" s="164">
        <v>1</v>
      </c>
      <c r="C61" s="164"/>
      <c r="D61" s="171"/>
      <c r="E61" s="171"/>
      <c r="F61" s="171"/>
      <c r="G61" s="171"/>
      <c r="H61" s="171"/>
      <c r="I61" s="171"/>
      <c r="J61" s="171"/>
      <c r="K61" s="171"/>
      <c r="L61" s="171"/>
      <c r="M61" s="171"/>
      <c r="N61" s="171"/>
      <c r="O61" s="182"/>
    </row>
  </sheetData>
  <mergeCells count="42">
    <mergeCell ref="A2:N2"/>
    <mergeCell ref="C5:F5"/>
    <mergeCell ref="G5:I5"/>
    <mergeCell ref="J5:L5"/>
    <mergeCell ref="M6:N6"/>
    <mergeCell ref="M7:N7"/>
    <mergeCell ref="M8:N8"/>
    <mergeCell ref="M9:N9"/>
    <mergeCell ref="M10:N10"/>
    <mergeCell ref="M11:N11"/>
    <mergeCell ref="M12:N12"/>
    <mergeCell ref="M13:N13"/>
    <mergeCell ref="M14:N14"/>
    <mergeCell ref="M15:N15"/>
    <mergeCell ref="A18:N18"/>
    <mergeCell ref="C20:F20"/>
    <mergeCell ref="G20:I20"/>
    <mergeCell ref="J20:L20"/>
    <mergeCell ref="M21:N21"/>
    <mergeCell ref="M22:N22"/>
    <mergeCell ref="M23:N23"/>
    <mergeCell ref="M24:N24"/>
    <mergeCell ref="M25:N25"/>
    <mergeCell ref="M26:N26"/>
    <mergeCell ref="M27:N27"/>
    <mergeCell ref="M28:N28"/>
    <mergeCell ref="M29:N29"/>
    <mergeCell ref="M30:N30"/>
    <mergeCell ref="M31:N31"/>
    <mergeCell ref="A34:N34"/>
    <mergeCell ref="C36:F36"/>
    <mergeCell ref="G37:N37"/>
    <mergeCell ref="G38:N38"/>
    <mergeCell ref="G39:N39"/>
    <mergeCell ref="G40:N40"/>
    <mergeCell ref="G41:N41"/>
    <mergeCell ref="G42:N42"/>
    <mergeCell ref="G43:N43"/>
    <mergeCell ref="G44:N44"/>
    <mergeCell ref="G45:N45"/>
    <mergeCell ref="G46:N46"/>
    <mergeCell ref="G47:N47"/>
  </mergeCells>
  <pageMargins left="0.7" right="0.7" top="0.75" bottom="0.75" header="0.3" footer="0.3"/>
  <pageSetup paperSize="1" scale="44" orientation="portrait"/>
  <headerFooter>
    <oddFooter>&amp;L&amp;1#&amp;"Calibri"&amp;10&amp;K000000John Keells Group - Confidential</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799432355723746"/>
  </sheetPr>
  <dimension ref="A1:P41"/>
  <sheetViews>
    <sheetView topLeftCell="A4" workbookViewId="0">
      <selection activeCell="G15" sqref="G15"/>
    </sheetView>
  </sheetViews>
  <sheetFormatPr defaultColWidth="9.12037037037037" defaultRowHeight="14.4"/>
  <cols>
    <col min="1" max="1" width="9.75" style="2" customWidth="1"/>
    <col min="2" max="2" width="10.1203703703704" style="2" hidden="1" customWidth="1"/>
    <col min="3" max="3" width="20.1203703703704" style="2" customWidth="1"/>
    <col min="4" max="4" width="12" style="3" customWidth="1"/>
    <col min="5" max="5" width="13.25" customWidth="1"/>
    <col min="6" max="7" width="13.8796296296296" style="3" customWidth="1"/>
    <col min="8" max="10" width="12.1203703703704" style="3" customWidth="1"/>
    <col min="11" max="11" width="13.8796296296296" style="3" customWidth="1"/>
    <col min="12" max="12" width="13" style="2" customWidth="1"/>
    <col min="13" max="13" width="12.75" style="2" customWidth="1"/>
    <col min="14" max="14" width="38.25" style="2" customWidth="1"/>
    <col min="15" max="15" width="41.1203703703704" style="485" customWidth="1"/>
    <col min="16" max="16" width="13.25" style="2" customWidth="1"/>
    <col min="17" max="16384" width="9.12037037037037" style="2"/>
  </cols>
  <sheetData>
    <row r="1" ht="18" spans="1:16">
      <c r="A1" s="5"/>
      <c r="B1" s="5"/>
      <c r="C1" s="262" t="s">
        <v>133</v>
      </c>
      <c r="D1" s="262" t="s">
        <v>134</v>
      </c>
      <c r="E1" s="473" t="s">
        <v>135</v>
      </c>
      <c r="F1" s="8"/>
      <c r="G1" s="8"/>
      <c r="H1" s="8"/>
      <c r="I1" s="9"/>
      <c r="J1" s="10"/>
      <c r="K1" s="10"/>
    </row>
    <row r="2" ht="15.6" spans="1:16">
      <c r="A2" s="11" t="s">
        <v>136</v>
      </c>
      <c r="B2" s="11"/>
      <c r="C2" s="263"/>
      <c r="D2" s="13" t="s">
        <v>137</v>
      </c>
      <c r="E2" s="14" t="s">
        <v>138</v>
      </c>
      <c r="F2" s="15" t="s">
        <v>139</v>
      </c>
      <c r="G2" s="15" t="s">
        <v>140</v>
      </c>
      <c r="H2" s="15" t="s">
        <v>141</v>
      </c>
      <c r="I2" s="16" t="s">
        <v>142</v>
      </c>
      <c r="J2" s="10"/>
      <c r="K2" s="10"/>
    </row>
    <row r="3" ht="15.6" spans="1:16">
      <c r="A3" s="11"/>
      <c r="B3" s="11"/>
      <c r="C3" s="578" t="s">
        <v>143</v>
      </c>
      <c r="D3" s="66">
        <v>1297464.31</v>
      </c>
      <c r="E3" s="67">
        <v>1011548.88</v>
      </c>
      <c r="F3" s="20">
        <v>19841.14</v>
      </c>
      <c r="G3" s="20">
        <v>0</v>
      </c>
      <c r="H3" s="20">
        <v>0</v>
      </c>
      <c r="I3" s="21">
        <v>266074.29</v>
      </c>
      <c r="J3" s="10"/>
      <c r="K3" s="10"/>
    </row>
    <row r="4" ht="15.6" spans="1:16">
      <c r="A4" s="11"/>
      <c r="B4" s="11"/>
      <c r="C4" s="578" t="s">
        <v>144</v>
      </c>
      <c r="D4" s="66">
        <v>1269550.05</v>
      </c>
      <c r="E4" s="67">
        <v>991975.76</v>
      </c>
      <c r="F4" s="20">
        <v>0</v>
      </c>
      <c r="G4" s="20">
        <v>0</v>
      </c>
      <c r="H4" s="20">
        <v>0</v>
      </c>
      <c r="I4" s="21">
        <v>277574.29</v>
      </c>
      <c r="J4" s="10"/>
      <c r="K4" s="10"/>
    </row>
    <row r="5" ht="16.35" spans="1:16">
      <c r="A5" s="11"/>
      <c r="B5" s="11"/>
      <c r="C5" s="266" t="s">
        <v>145</v>
      </c>
      <c r="D5" s="211">
        <v>27914.2600000002</v>
      </c>
      <c r="E5" s="212">
        <v>19573.1200000003</v>
      </c>
      <c r="F5" s="25">
        <v>19841.14</v>
      </c>
      <c r="G5" s="25">
        <v>0</v>
      </c>
      <c r="H5" s="25">
        <v>0</v>
      </c>
      <c r="I5" s="26">
        <v>-11500</v>
      </c>
      <c r="J5" s="10"/>
      <c r="K5" s="10"/>
    </row>
    <row r="6" ht="15.6" spans="1:16">
      <c r="A6" s="11"/>
      <c r="B6" s="11"/>
      <c r="D6" s="10"/>
      <c r="E6" s="29"/>
      <c r="F6" s="10"/>
      <c r="G6" s="10"/>
      <c r="H6" s="10"/>
      <c r="I6" s="10"/>
      <c r="J6" s="10"/>
      <c r="K6" s="10"/>
    </row>
    <row r="7" ht="15.15" spans="1:16">
      <c r="A7" s="27"/>
      <c r="B7" s="27"/>
      <c r="C7" s="27"/>
      <c r="D7" s="28"/>
      <c r="E7" s="2"/>
      <c r="F7" s="28"/>
      <c r="G7" s="28"/>
      <c r="H7" s="28"/>
      <c r="I7" s="28"/>
      <c r="J7" s="28"/>
      <c r="K7" s="28"/>
      <c r="L7" s="27"/>
      <c r="M7" s="27"/>
      <c r="O7" s="486"/>
    </row>
    <row r="8" spans="1:16">
      <c r="A8" s="27"/>
      <c r="B8" s="27"/>
      <c r="C8" s="27"/>
      <c r="D8" s="29"/>
      <c r="E8" s="29"/>
      <c r="F8" s="30"/>
      <c r="G8" s="31" t="s">
        <v>146</v>
      </c>
      <c r="H8" s="32"/>
      <c r="I8" s="32"/>
      <c r="J8" s="32"/>
      <c r="K8" s="33"/>
      <c r="L8" s="34"/>
      <c r="M8" s="34"/>
      <c r="N8" s="35"/>
    </row>
    <row r="9" ht="16.5" customHeight="1" spans="1:16">
      <c r="A9" s="36" t="s">
        <v>147</v>
      </c>
      <c r="B9" s="36" t="s">
        <v>148</v>
      </c>
      <c r="C9" s="36" t="s">
        <v>149</v>
      </c>
      <c r="D9" s="37" t="s">
        <v>150</v>
      </c>
      <c r="E9" s="37" t="s">
        <v>151</v>
      </c>
      <c r="F9" s="37" t="s">
        <v>152</v>
      </c>
      <c r="G9" s="37" t="s">
        <v>153</v>
      </c>
      <c r="H9" s="37" t="s">
        <v>154</v>
      </c>
      <c r="I9" s="37" t="s">
        <v>155</v>
      </c>
      <c r="J9" s="37" t="s">
        <v>156</v>
      </c>
      <c r="K9" s="37" t="s">
        <v>157</v>
      </c>
      <c r="L9" s="36" t="s">
        <v>158</v>
      </c>
      <c r="M9" s="36" t="s">
        <v>159</v>
      </c>
      <c r="N9" s="38" t="s">
        <v>160</v>
      </c>
      <c r="O9" s="39" t="s">
        <v>161</v>
      </c>
      <c r="P9" s="39" t="s">
        <v>162</v>
      </c>
    </row>
    <row r="10" ht="35.25" customHeight="1" spans="1:16">
      <c r="A10" s="36"/>
      <c r="B10" s="36"/>
      <c r="C10" s="36"/>
      <c r="D10" s="37"/>
      <c r="E10" s="37"/>
      <c r="F10" s="37"/>
      <c r="G10" s="37"/>
      <c r="H10" s="37"/>
      <c r="I10" s="37"/>
      <c r="J10" s="37"/>
      <c r="K10" s="37"/>
      <c r="L10" s="36"/>
      <c r="M10" s="36"/>
      <c r="N10" s="38"/>
      <c r="O10" s="41"/>
      <c r="P10" s="41"/>
    </row>
    <row r="11" s="1" customFormat="1" spans="1:16">
      <c r="A11" s="228">
        <v>8715</v>
      </c>
      <c r="B11" s="228"/>
      <c r="C11" s="335" t="s">
        <v>42</v>
      </c>
      <c r="D11" s="91">
        <v>131097.36</v>
      </c>
      <c r="E11" s="91">
        <v>84710.12</v>
      </c>
      <c r="F11" s="336">
        <f t="shared" ref="F11:F41" si="0">D11-E11</f>
        <v>46387.24</v>
      </c>
      <c r="G11" s="487">
        <v>131097.36</v>
      </c>
      <c r="H11" s="487">
        <v>0</v>
      </c>
      <c r="I11" s="487">
        <v>0</v>
      </c>
      <c r="J11" s="487">
        <v>0</v>
      </c>
      <c r="K11" s="487">
        <v>0</v>
      </c>
      <c r="L11" s="488">
        <v>2366</v>
      </c>
      <c r="M11" s="489">
        <v>2066</v>
      </c>
      <c r="N11" s="490" t="s">
        <v>163</v>
      </c>
      <c r="O11" s="231" t="s">
        <v>163</v>
      </c>
      <c r="P11" s="489">
        <v>1222</v>
      </c>
    </row>
    <row r="12" s="1" customFormat="1" spans="1:16">
      <c r="A12" s="228">
        <v>8889</v>
      </c>
      <c r="B12" s="228"/>
      <c r="C12" s="335" t="s">
        <v>164</v>
      </c>
      <c r="D12" s="91">
        <v>100166.81</v>
      </c>
      <c r="E12" s="91">
        <v>71871.75</v>
      </c>
      <c r="F12" s="336">
        <f t="shared" si="0"/>
        <v>28295.06</v>
      </c>
      <c r="G12" s="487">
        <v>100166.81</v>
      </c>
      <c r="H12" s="487">
        <v>0</v>
      </c>
      <c r="I12" s="487">
        <v>0</v>
      </c>
      <c r="J12" s="487">
        <v>0</v>
      </c>
      <c r="K12" s="487">
        <v>0</v>
      </c>
      <c r="L12" s="488">
        <v>845</v>
      </c>
      <c r="M12" s="489">
        <v>979</v>
      </c>
      <c r="N12" s="490" t="s">
        <v>163</v>
      </c>
      <c r="O12" s="231" t="s">
        <v>163</v>
      </c>
      <c r="P12" s="489">
        <v>265</v>
      </c>
    </row>
    <row r="13" s="1" customFormat="1" spans="1:16">
      <c r="A13" s="228">
        <v>6506</v>
      </c>
      <c r="B13" s="228"/>
      <c r="C13" s="335" t="s">
        <v>165</v>
      </c>
      <c r="D13" s="91">
        <v>34898.6</v>
      </c>
      <c r="E13" s="91">
        <v>33323.31</v>
      </c>
      <c r="F13" s="336">
        <f t="shared" si="0"/>
        <v>1575.29</v>
      </c>
      <c r="G13" s="487">
        <v>34898.6</v>
      </c>
      <c r="H13" s="487">
        <v>0</v>
      </c>
      <c r="I13" s="487">
        <v>0</v>
      </c>
      <c r="J13" s="487">
        <v>0</v>
      </c>
      <c r="K13" s="487">
        <v>0</v>
      </c>
      <c r="L13" s="488">
        <v>621</v>
      </c>
      <c r="M13" s="489">
        <v>679</v>
      </c>
      <c r="N13" s="490" t="s">
        <v>163</v>
      </c>
      <c r="O13" s="231" t="s">
        <v>163</v>
      </c>
      <c r="P13" s="489">
        <v>380</v>
      </c>
    </row>
    <row r="14" s="1" customFormat="1" spans="1:16">
      <c r="A14" s="228">
        <v>6301</v>
      </c>
      <c r="B14" s="228"/>
      <c r="C14" s="335" t="s">
        <v>166</v>
      </c>
      <c r="D14" s="91">
        <v>25257.08</v>
      </c>
      <c r="E14" s="91">
        <v>24922.84</v>
      </c>
      <c r="F14" s="336">
        <f t="shared" si="0"/>
        <v>334.240000000002</v>
      </c>
      <c r="G14" s="487">
        <v>25257.08</v>
      </c>
      <c r="H14" s="487">
        <v>0</v>
      </c>
      <c r="I14" s="487">
        <v>0</v>
      </c>
      <c r="J14" s="487">
        <v>0</v>
      </c>
      <c r="K14" s="487">
        <v>0</v>
      </c>
      <c r="L14" s="488">
        <v>962</v>
      </c>
      <c r="M14" s="489">
        <v>876</v>
      </c>
      <c r="N14" s="490" t="s">
        <v>163</v>
      </c>
      <c r="O14" s="231" t="s">
        <v>163</v>
      </c>
      <c r="P14" s="489">
        <v>555</v>
      </c>
    </row>
    <row r="15" s="1" customFormat="1" spans="1:16">
      <c r="A15" s="228">
        <v>7809</v>
      </c>
      <c r="B15" s="228"/>
      <c r="C15" s="335" t="s">
        <v>167</v>
      </c>
      <c r="D15" s="91">
        <v>22905.47</v>
      </c>
      <c r="E15" s="91">
        <v>6710.34</v>
      </c>
      <c r="F15" s="336">
        <f t="shared" si="0"/>
        <v>16195.13</v>
      </c>
      <c r="G15" s="487">
        <v>22905.47</v>
      </c>
      <c r="H15" s="487">
        <v>0</v>
      </c>
      <c r="I15" s="487">
        <v>0</v>
      </c>
      <c r="J15" s="487">
        <v>0</v>
      </c>
      <c r="K15" s="487">
        <v>0</v>
      </c>
      <c r="L15" s="488">
        <v>820</v>
      </c>
      <c r="M15" s="489">
        <v>740</v>
      </c>
      <c r="N15" s="490" t="s">
        <v>163</v>
      </c>
      <c r="O15" s="231" t="s">
        <v>163</v>
      </c>
      <c r="P15" s="489">
        <v>420</v>
      </c>
    </row>
    <row r="16" s="1" customFormat="1" spans="1:16">
      <c r="A16" s="335">
        <v>7153</v>
      </c>
      <c r="B16" s="228"/>
      <c r="C16" s="335" t="s">
        <v>168</v>
      </c>
      <c r="D16" s="91">
        <v>21380.25</v>
      </c>
      <c r="E16" s="91">
        <v>16495.28</v>
      </c>
      <c r="F16" s="336">
        <f t="shared" si="0"/>
        <v>4884.97</v>
      </c>
      <c r="G16" s="91">
        <v>21380.25</v>
      </c>
      <c r="H16" s="91">
        <v>0</v>
      </c>
      <c r="I16" s="91">
        <v>0</v>
      </c>
      <c r="J16" s="91">
        <v>0</v>
      </c>
      <c r="K16" s="91">
        <v>0</v>
      </c>
      <c r="L16" s="488">
        <v>687</v>
      </c>
      <c r="M16" s="91">
        <v>641</v>
      </c>
      <c r="N16" s="490" t="s">
        <v>163</v>
      </c>
      <c r="O16" s="231" t="s">
        <v>163</v>
      </c>
      <c r="P16" s="489">
        <v>455</v>
      </c>
    </row>
    <row r="17" s="1" customFormat="1" spans="1:16">
      <c r="A17" s="228">
        <v>2174</v>
      </c>
      <c r="B17" s="228"/>
      <c r="C17" s="335" t="s">
        <v>82</v>
      </c>
      <c r="D17" s="91">
        <v>17496.47</v>
      </c>
      <c r="E17" s="91">
        <v>36138.15</v>
      </c>
      <c r="F17" s="336">
        <f t="shared" si="0"/>
        <v>-18641.68</v>
      </c>
      <c r="G17" s="487">
        <v>17496.47</v>
      </c>
      <c r="H17" s="487">
        <v>0</v>
      </c>
      <c r="I17" s="487">
        <v>0</v>
      </c>
      <c r="J17" s="487">
        <v>0</v>
      </c>
      <c r="K17" s="487">
        <v>0</v>
      </c>
      <c r="L17" s="488">
        <v>799</v>
      </c>
      <c r="M17" s="489">
        <v>907</v>
      </c>
      <c r="N17" s="490" t="s">
        <v>163</v>
      </c>
      <c r="O17" s="231" t="s">
        <v>163</v>
      </c>
      <c r="P17" s="489">
        <v>421</v>
      </c>
    </row>
    <row r="18" s="1" customFormat="1" spans="1:16">
      <c r="A18" s="228">
        <v>2185</v>
      </c>
      <c r="B18" s="228"/>
      <c r="C18" s="335" t="s">
        <v>169</v>
      </c>
      <c r="D18" s="91">
        <v>14612.38</v>
      </c>
      <c r="E18" s="91">
        <v>20918.36</v>
      </c>
      <c r="F18" s="336">
        <f t="shared" si="0"/>
        <v>-6305.98</v>
      </c>
      <c r="G18" s="487">
        <v>14612.38</v>
      </c>
      <c r="H18" s="487">
        <v>0</v>
      </c>
      <c r="I18" s="487">
        <v>0</v>
      </c>
      <c r="J18" s="487">
        <v>0</v>
      </c>
      <c r="K18" s="487">
        <v>0</v>
      </c>
      <c r="L18" s="488">
        <v>406</v>
      </c>
      <c r="M18" s="489">
        <v>331</v>
      </c>
      <c r="N18" s="490" t="s">
        <v>163</v>
      </c>
      <c r="O18" s="231" t="s">
        <v>163</v>
      </c>
      <c r="P18" s="489">
        <v>198</v>
      </c>
    </row>
    <row r="19" s="1" customFormat="1" spans="1:16">
      <c r="A19" s="228">
        <v>5313</v>
      </c>
      <c r="B19" s="228"/>
      <c r="C19" s="335" t="s">
        <v>170</v>
      </c>
      <c r="D19" s="91">
        <v>13881.1</v>
      </c>
      <c r="E19" s="91">
        <v>7150.92</v>
      </c>
      <c r="F19" s="336">
        <f t="shared" si="0"/>
        <v>6730.18</v>
      </c>
      <c r="G19" s="487">
        <v>13881.1</v>
      </c>
      <c r="H19" s="487">
        <v>0</v>
      </c>
      <c r="I19" s="487">
        <v>0</v>
      </c>
      <c r="J19" s="487">
        <v>0</v>
      </c>
      <c r="K19" s="487">
        <v>0</v>
      </c>
      <c r="L19" s="488">
        <v>333</v>
      </c>
      <c r="M19" s="489">
        <v>204</v>
      </c>
      <c r="N19" s="490" t="s">
        <v>163</v>
      </c>
      <c r="O19" s="231" t="s">
        <v>163</v>
      </c>
      <c r="P19" s="489">
        <v>64</v>
      </c>
    </row>
    <row r="20" s="1" customFormat="1" spans="1:16">
      <c r="A20" s="228">
        <v>7259</v>
      </c>
      <c r="B20" s="228"/>
      <c r="C20" s="335" t="s">
        <v>171</v>
      </c>
      <c r="D20" s="91">
        <v>13384.79</v>
      </c>
      <c r="E20" s="91">
        <v>6660.09</v>
      </c>
      <c r="F20" s="336">
        <f t="shared" si="0"/>
        <v>6724.7</v>
      </c>
      <c r="G20" s="487">
        <v>13384.79</v>
      </c>
      <c r="H20" s="487">
        <v>0</v>
      </c>
      <c r="I20" s="487">
        <v>0</v>
      </c>
      <c r="J20" s="487">
        <v>0</v>
      </c>
      <c r="K20" s="487">
        <v>0</v>
      </c>
      <c r="L20" s="488">
        <v>243</v>
      </c>
      <c r="M20" s="489">
        <v>157</v>
      </c>
      <c r="N20" s="490" t="s">
        <v>163</v>
      </c>
      <c r="O20" s="231" t="s">
        <v>163</v>
      </c>
      <c r="P20" s="489">
        <v>190</v>
      </c>
    </row>
    <row r="21" s="1" customFormat="1" spans="1:16">
      <c r="A21" s="335">
        <v>311</v>
      </c>
      <c r="B21" s="228"/>
      <c r="C21" s="335" t="s">
        <v>46</v>
      </c>
      <c r="D21" s="91">
        <v>11373.53</v>
      </c>
      <c r="E21" s="91">
        <v>5989.52</v>
      </c>
      <c r="F21" s="336">
        <f t="shared" si="0"/>
        <v>5384.01</v>
      </c>
      <c r="G21" s="91">
        <v>11373.53</v>
      </c>
      <c r="H21" s="91">
        <v>0</v>
      </c>
      <c r="I21" s="91">
        <v>0</v>
      </c>
      <c r="J21" s="91">
        <v>0</v>
      </c>
      <c r="K21" s="91">
        <v>0</v>
      </c>
      <c r="L21" s="488">
        <v>512</v>
      </c>
      <c r="M21" s="91">
        <v>386</v>
      </c>
      <c r="N21" s="490" t="s">
        <v>163</v>
      </c>
      <c r="O21" s="231" t="s">
        <v>163</v>
      </c>
      <c r="P21" s="489">
        <v>180</v>
      </c>
    </row>
    <row r="22" s="1" customFormat="1" spans="1:16">
      <c r="A22" s="228">
        <v>5193</v>
      </c>
      <c r="B22" s="228"/>
      <c r="C22" s="335" t="s">
        <v>172</v>
      </c>
      <c r="D22" s="91">
        <v>10537.39</v>
      </c>
      <c r="E22" s="91">
        <v>9860.77</v>
      </c>
      <c r="F22" s="336">
        <f t="shared" si="0"/>
        <v>676.619999999999</v>
      </c>
      <c r="G22" s="487">
        <v>10537.39</v>
      </c>
      <c r="H22" s="487">
        <v>0</v>
      </c>
      <c r="I22" s="487">
        <v>0</v>
      </c>
      <c r="J22" s="487">
        <v>0</v>
      </c>
      <c r="K22" s="487">
        <v>0</v>
      </c>
      <c r="L22" s="488">
        <v>204</v>
      </c>
      <c r="M22" s="489">
        <v>124</v>
      </c>
      <c r="N22" s="490" t="s">
        <v>163</v>
      </c>
      <c r="O22" s="231" t="s">
        <v>163</v>
      </c>
      <c r="P22" s="489">
        <v>39</v>
      </c>
    </row>
    <row r="23" s="1" customFormat="1" spans="1:16">
      <c r="A23" s="228">
        <v>1195</v>
      </c>
      <c r="B23" s="228" t="s">
        <v>173</v>
      </c>
      <c r="C23" s="335" t="s">
        <v>174</v>
      </c>
      <c r="D23" s="91">
        <v>10394.06</v>
      </c>
      <c r="E23" s="91">
        <v>0</v>
      </c>
      <c r="F23" s="336">
        <f t="shared" si="0"/>
        <v>10394.06</v>
      </c>
      <c r="G23" s="487">
        <v>10394.06</v>
      </c>
      <c r="H23" s="487">
        <v>0</v>
      </c>
      <c r="I23" s="487">
        <v>0</v>
      </c>
      <c r="J23" s="487">
        <v>0</v>
      </c>
      <c r="K23" s="487">
        <v>0</v>
      </c>
      <c r="L23" s="488">
        <v>1117</v>
      </c>
      <c r="M23" s="489">
        <v>955</v>
      </c>
      <c r="N23" s="490" t="s">
        <v>163</v>
      </c>
      <c r="O23" s="231">
        <v>0</v>
      </c>
      <c r="P23" s="489">
        <v>597</v>
      </c>
    </row>
    <row r="24" s="1" customFormat="1" spans="1:16">
      <c r="A24" s="228">
        <v>8782</v>
      </c>
      <c r="B24" s="228"/>
      <c r="C24" s="335" t="s">
        <v>175</v>
      </c>
      <c r="D24" s="91">
        <v>9912.62</v>
      </c>
      <c r="E24" s="91">
        <v>7200.74</v>
      </c>
      <c r="F24" s="336">
        <f t="shared" si="0"/>
        <v>2711.88</v>
      </c>
      <c r="G24" s="487">
        <v>9912.62</v>
      </c>
      <c r="H24" s="487">
        <v>0</v>
      </c>
      <c r="I24" s="487">
        <v>0</v>
      </c>
      <c r="J24" s="487">
        <v>0</v>
      </c>
      <c r="K24" s="487">
        <v>0</v>
      </c>
      <c r="L24" s="488">
        <v>407</v>
      </c>
      <c r="M24" s="489">
        <v>381</v>
      </c>
      <c r="N24" s="490" t="s">
        <v>163</v>
      </c>
      <c r="O24" s="231" t="s">
        <v>163</v>
      </c>
      <c r="P24" s="489">
        <v>320</v>
      </c>
    </row>
    <row r="25" s="1" customFormat="1" spans="1:16">
      <c r="A25" s="228">
        <v>2217</v>
      </c>
      <c r="B25" s="228"/>
      <c r="C25" s="335" t="s">
        <v>176</v>
      </c>
      <c r="D25" s="91">
        <v>9613.85</v>
      </c>
      <c r="E25" s="91">
        <v>22685.84</v>
      </c>
      <c r="F25" s="336">
        <f t="shared" si="0"/>
        <v>-13071.99</v>
      </c>
      <c r="G25" s="487">
        <v>9613.85</v>
      </c>
      <c r="H25" s="487">
        <v>0</v>
      </c>
      <c r="I25" s="487">
        <v>0</v>
      </c>
      <c r="J25" s="487">
        <v>0</v>
      </c>
      <c r="K25" s="487">
        <v>0</v>
      </c>
      <c r="L25" s="488">
        <v>311</v>
      </c>
      <c r="M25" s="489">
        <v>366</v>
      </c>
      <c r="N25" s="490" t="s">
        <v>163</v>
      </c>
      <c r="O25" s="231" t="s">
        <v>163</v>
      </c>
      <c r="P25" s="489">
        <v>67</v>
      </c>
    </row>
    <row r="26" s="1" customFormat="1" spans="1:16">
      <c r="A26" s="228">
        <v>8870</v>
      </c>
      <c r="B26" s="228"/>
      <c r="C26" s="335" t="s">
        <v>177</v>
      </c>
      <c r="D26" s="91">
        <v>8850.03</v>
      </c>
      <c r="E26" s="91">
        <v>0</v>
      </c>
      <c r="F26" s="336">
        <f t="shared" si="0"/>
        <v>8850.03</v>
      </c>
      <c r="G26" s="487">
        <v>8850.03</v>
      </c>
      <c r="H26" s="487">
        <v>0</v>
      </c>
      <c r="I26" s="487">
        <v>0</v>
      </c>
      <c r="J26" s="487">
        <v>0</v>
      </c>
      <c r="K26" s="487">
        <v>0</v>
      </c>
      <c r="L26" s="488">
        <v>593</v>
      </c>
      <c r="M26" s="489">
        <v>558</v>
      </c>
      <c r="N26" s="490" t="s">
        <v>163</v>
      </c>
      <c r="O26" s="231">
        <v>0</v>
      </c>
      <c r="P26" s="489">
        <v>284</v>
      </c>
    </row>
    <row r="27" s="1" customFormat="1" spans="1:16">
      <c r="A27" s="228">
        <v>428</v>
      </c>
      <c r="B27" s="228"/>
      <c r="C27" s="335" t="s">
        <v>178</v>
      </c>
      <c r="D27" s="91">
        <v>8306.56</v>
      </c>
      <c r="E27" s="91">
        <v>5172.19</v>
      </c>
      <c r="F27" s="336">
        <f t="shared" si="0"/>
        <v>3134.37</v>
      </c>
      <c r="G27" s="487">
        <v>8306.56</v>
      </c>
      <c r="H27" s="487">
        <v>0</v>
      </c>
      <c r="I27" s="487">
        <v>0</v>
      </c>
      <c r="J27" s="487">
        <v>0</v>
      </c>
      <c r="K27" s="487">
        <v>0</v>
      </c>
      <c r="L27" s="488">
        <v>289</v>
      </c>
      <c r="M27" s="489">
        <v>203</v>
      </c>
      <c r="N27" s="490" t="s">
        <v>163</v>
      </c>
      <c r="O27" s="231" t="s">
        <v>163</v>
      </c>
      <c r="P27" s="489">
        <v>202</v>
      </c>
    </row>
    <row r="28" s="1" customFormat="1" spans="1:16">
      <c r="A28" s="228">
        <v>563</v>
      </c>
      <c r="B28" s="228"/>
      <c r="C28" s="335" t="s">
        <v>179</v>
      </c>
      <c r="D28" s="91">
        <v>8299.46</v>
      </c>
      <c r="E28" s="91">
        <v>5851.73</v>
      </c>
      <c r="F28" s="336">
        <f t="shared" si="0"/>
        <v>2447.73</v>
      </c>
      <c r="G28" s="487">
        <v>8299.46</v>
      </c>
      <c r="H28" s="487">
        <v>0</v>
      </c>
      <c r="I28" s="487">
        <v>0</v>
      </c>
      <c r="J28" s="487">
        <v>0</v>
      </c>
      <c r="K28" s="487">
        <v>0</v>
      </c>
      <c r="L28" s="488">
        <v>320</v>
      </c>
      <c r="M28" s="489">
        <v>360</v>
      </c>
      <c r="N28" s="490" t="s">
        <v>163</v>
      </c>
      <c r="O28" s="231" t="s">
        <v>163</v>
      </c>
      <c r="P28" s="489">
        <v>161</v>
      </c>
    </row>
    <row r="29" s="1" customFormat="1" spans="1:16">
      <c r="A29" s="228">
        <v>149</v>
      </c>
      <c r="B29" s="228"/>
      <c r="C29" s="335" t="s">
        <v>180</v>
      </c>
      <c r="D29" s="91">
        <v>5549.24</v>
      </c>
      <c r="E29" s="91">
        <v>4700.43</v>
      </c>
      <c r="F29" s="336">
        <f t="shared" si="0"/>
        <v>848.809999999999</v>
      </c>
      <c r="G29" s="487">
        <v>5549.24</v>
      </c>
      <c r="H29" s="487">
        <v>0</v>
      </c>
      <c r="I29" s="487">
        <v>0</v>
      </c>
      <c r="J29" s="487">
        <v>0</v>
      </c>
      <c r="K29" s="487">
        <v>0</v>
      </c>
      <c r="L29" s="488">
        <v>324</v>
      </c>
      <c r="M29" s="489">
        <v>275</v>
      </c>
      <c r="N29" s="490" t="s">
        <v>163</v>
      </c>
      <c r="O29" s="231" t="s">
        <v>163</v>
      </c>
      <c r="P29" s="489">
        <v>214</v>
      </c>
    </row>
    <row r="30" s="1" customFormat="1" spans="1:16">
      <c r="A30" s="228">
        <v>8</v>
      </c>
      <c r="B30" s="228"/>
      <c r="C30" s="335" t="s">
        <v>181</v>
      </c>
      <c r="D30" s="91">
        <v>2871.13</v>
      </c>
      <c r="E30" s="91">
        <v>8482.33</v>
      </c>
      <c r="F30" s="336">
        <f t="shared" si="0"/>
        <v>-5611.2</v>
      </c>
      <c r="G30" s="487">
        <v>2871.13</v>
      </c>
      <c r="H30" s="487">
        <v>0</v>
      </c>
      <c r="I30" s="487">
        <v>0</v>
      </c>
      <c r="J30" s="487">
        <v>0</v>
      </c>
      <c r="K30" s="487">
        <v>0</v>
      </c>
      <c r="L30" s="488">
        <v>383</v>
      </c>
      <c r="M30" s="489">
        <v>395</v>
      </c>
      <c r="N30" s="490" t="s">
        <v>163</v>
      </c>
      <c r="O30" s="231" t="s">
        <v>163</v>
      </c>
      <c r="P30" s="489">
        <v>242</v>
      </c>
    </row>
    <row r="31" s="1" customFormat="1" spans="1:16">
      <c r="A31" s="228">
        <v>5308</v>
      </c>
      <c r="B31" s="228"/>
      <c r="C31" s="335" t="s">
        <v>182</v>
      </c>
      <c r="D31" s="91">
        <v>1884.45</v>
      </c>
      <c r="E31" s="91">
        <v>0</v>
      </c>
      <c r="F31" s="336">
        <f t="shared" si="0"/>
        <v>1884.45</v>
      </c>
      <c r="G31" s="487">
        <v>1884.45</v>
      </c>
      <c r="H31" s="487">
        <v>0</v>
      </c>
      <c r="I31" s="487">
        <v>0</v>
      </c>
      <c r="J31" s="487">
        <v>0</v>
      </c>
      <c r="K31" s="487">
        <v>0</v>
      </c>
      <c r="L31" s="488">
        <v>15</v>
      </c>
      <c r="M31" s="489">
        <v>0</v>
      </c>
      <c r="N31" s="490" t="s">
        <v>163</v>
      </c>
      <c r="O31" s="231">
        <v>0</v>
      </c>
      <c r="P31" s="489">
        <v>0</v>
      </c>
    </row>
    <row r="32" s="1" customFormat="1" spans="1:16">
      <c r="A32" s="228">
        <v>1063</v>
      </c>
      <c r="B32" s="228" t="s">
        <v>183</v>
      </c>
      <c r="C32" s="335" t="s">
        <v>184</v>
      </c>
      <c r="D32" s="91">
        <v>1219.16</v>
      </c>
      <c r="E32" s="91">
        <v>0</v>
      </c>
      <c r="F32" s="336">
        <f t="shared" si="0"/>
        <v>1219.16</v>
      </c>
      <c r="G32" s="487">
        <v>1219.16</v>
      </c>
      <c r="H32" s="487">
        <v>0</v>
      </c>
      <c r="I32" s="487">
        <v>0</v>
      </c>
      <c r="J32" s="487">
        <v>0</v>
      </c>
      <c r="K32" s="487">
        <v>0</v>
      </c>
      <c r="L32" s="488">
        <v>135</v>
      </c>
      <c r="M32" s="489">
        <v>176</v>
      </c>
      <c r="N32" s="490" t="s">
        <v>163</v>
      </c>
      <c r="O32" s="231">
        <v>0</v>
      </c>
      <c r="P32" s="489">
        <v>67</v>
      </c>
    </row>
    <row r="33" s="1" customFormat="1" ht="57.6" spans="1:16">
      <c r="A33" s="228">
        <v>5359</v>
      </c>
      <c r="B33" s="228"/>
      <c r="C33" s="335" t="s">
        <v>164</v>
      </c>
      <c r="D33" s="91">
        <v>20663.3</v>
      </c>
      <c r="E33" s="91">
        <v>33463.14</v>
      </c>
      <c r="F33" s="336">
        <f t="shared" si="0"/>
        <v>-12799.84</v>
      </c>
      <c r="G33" s="491">
        <v>822.16</v>
      </c>
      <c r="H33" s="491">
        <v>19841.14</v>
      </c>
      <c r="I33" s="491">
        <v>0</v>
      </c>
      <c r="J33" s="491">
        <v>0</v>
      </c>
      <c r="K33" s="491">
        <v>0</v>
      </c>
      <c r="L33" s="492">
        <v>93</v>
      </c>
      <c r="M33" s="492">
        <v>139</v>
      </c>
      <c r="N33" s="490" t="s">
        <v>185</v>
      </c>
      <c r="O33" s="231" t="s">
        <v>163</v>
      </c>
      <c r="P33" s="489">
        <v>57</v>
      </c>
    </row>
    <row r="34" s="1" customFormat="1" spans="1:16">
      <c r="A34" s="228">
        <v>2189</v>
      </c>
      <c r="B34" s="228"/>
      <c r="C34" s="335" t="s">
        <v>186</v>
      </c>
      <c r="D34" s="91">
        <v>457.67</v>
      </c>
      <c r="E34" s="91">
        <v>19554.7</v>
      </c>
      <c r="F34" s="336">
        <f t="shared" si="0"/>
        <v>-19097.03</v>
      </c>
      <c r="G34" s="487">
        <v>457.67</v>
      </c>
      <c r="H34" s="487">
        <v>0</v>
      </c>
      <c r="I34" s="487">
        <v>0</v>
      </c>
      <c r="J34" s="487">
        <v>0</v>
      </c>
      <c r="K34" s="487">
        <v>0</v>
      </c>
      <c r="L34" s="488">
        <v>236</v>
      </c>
      <c r="M34" s="489">
        <v>372</v>
      </c>
      <c r="N34" s="490" t="s">
        <v>163</v>
      </c>
      <c r="O34" s="231" t="s">
        <v>163</v>
      </c>
      <c r="P34" s="489">
        <v>230</v>
      </c>
    </row>
    <row r="35" s="1" customFormat="1" ht="28.8" spans="1:16">
      <c r="A35" s="228">
        <v>8355</v>
      </c>
      <c r="B35" s="228"/>
      <c r="C35" s="335" t="s">
        <v>71</v>
      </c>
      <c r="D35" s="91">
        <v>150061.53</v>
      </c>
      <c r="E35" s="91">
        <v>150061.53</v>
      </c>
      <c r="F35" s="336">
        <f t="shared" si="0"/>
        <v>0</v>
      </c>
      <c r="G35" s="487">
        <v>0</v>
      </c>
      <c r="H35" s="487">
        <v>0</v>
      </c>
      <c r="I35" s="487">
        <v>0</v>
      </c>
      <c r="J35" s="487">
        <v>0</v>
      </c>
      <c r="K35" s="487">
        <v>150061.53</v>
      </c>
      <c r="L35" s="488">
        <v>0</v>
      </c>
      <c r="M35" s="489">
        <v>0</v>
      </c>
      <c r="N35" s="490" t="s">
        <v>187</v>
      </c>
      <c r="O35" s="231" t="s">
        <v>187</v>
      </c>
      <c r="P35" s="489">
        <v>0</v>
      </c>
    </row>
    <row r="36" s="1" customFormat="1" ht="28.8" spans="1:16">
      <c r="A36" s="228">
        <v>5648</v>
      </c>
      <c r="B36" s="228" t="s">
        <v>188</v>
      </c>
      <c r="C36" s="335" t="s">
        <v>189</v>
      </c>
      <c r="D36" s="91">
        <v>41533.81</v>
      </c>
      <c r="E36" s="91">
        <v>43533.81</v>
      </c>
      <c r="F36" s="336">
        <f t="shared" si="0"/>
        <v>-2000</v>
      </c>
      <c r="G36" s="487">
        <v>0</v>
      </c>
      <c r="H36" s="487">
        <v>0</v>
      </c>
      <c r="I36" s="487">
        <v>0</v>
      </c>
      <c r="J36" s="487">
        <v>0</v>
      </c>
      <c r="K36" s="487">
        <v>41533.81</v>
      </c>
      <c r="L36" s="488">
        <v>0</v>
      </c>
      <c r="M36" s="489">
        <v>0</v>
      </c>
      <c r="N36" s="490" t="s">
        <v>190</v>
      </c>
      <c r="O36" s="231" t="s">
        <v>191</v>
      </c>
      <c r="P36" s="489">
        <v>0</v>
      </c>
    </row>
    <row r="37" s="1" customFormat="1" ht="28.8" spans="1:16">
      <c r="A37" s="228">
        <v>8399</v>
      </c>
      <c r="B37" s="228"/>
      <c r="C37" s="335" t="s">
        <v>73</v>
      </c>
      <c r="D37" s="91">
        <v>25683.72</v>
      </c>
      <c r="E37" s="91">
        <v>25683.72</v>
      </c>
      <c r="F37" s="336">
        <f t="shared" si="0"/>
        <v>0</v>
      </c>
      <c r="G37" s="487">
        <v>0</v>
      </c>
      <c r="H37" s="487">
        <v>0</v>
      </c>
      <c r="I37" s="487">
        <v>0</v>
      </c>
      <c r="J37" s="487">
        <v>0</v>
      </c>
      <c r="K37" s="487">
        <v>25683.72</v>
      </c>
      <c r="L37" s="488">
        <v>0</v>
      </c>
      <c r="M37" s="489">
        <v>0</v>
      </c>
      <c r="N37" s="490" t="s">
        <v>187</v>
      </c>
      <c r="O37" s="231" t="s">
        <v>187</v>
      </c>
      <c r="P37" s="489">
        <v>0</v>
      </c>
    </row>
    <row r="38" s="1" customFormat="1" spans="1:16">
      <c r="A38" s="228">
        <v>8314</v>
      </c>
      <c r="B38" s="228"/>
      <c r="C38" s="335" t="s">
        <v>76</v>
      </c>
      <c r="D38" s="91">
        <v>20064.32</v>
      </c>
      <c r="E38" s="91">
        <v>21064.32</v>
      </c>
      <c r="F38" s="336">
        <f t="shared" si="0"/>
        <v>-1000</v>
      </c>
      <c r="G38" s="487">
        <v>0</v>
      </c>
      <c r="H38" s="487">
        <v>0</v>
      </c>
      <c r="I38" s="487">
        <v>0</v>
      </c>
      <c r="J38" s="487">
        <v>0</v>
      </c>
      <c r="K38" s="487">
        <v>20064.32</v>
      </c>
      <c r="L38" s="488">
        <v>0</v>
      </c>
      <c r="M38" s="489">
        <v>0</v>
      </c>
      <c r="N38" s="490" t="s">
        <v>192</v>
      </c>
      <c r="O38" s="231" t="s">
        <v>192</v>
      </c>
      <c r="P38" s="489">
        <v>0</v>
      </c>
    </row>
    <row r="39" s="1" customFormat="1" spans="1:16">
      <c r="A39" s="228">
        <v>8303</v>
      </c>
      <c r="B39" s="228"/>
      <c r="C39" s="335" t="s">
        <v>78</v>
      </c>
      <c r="D39" s="91">
        <v>13974</v>
      </c>
      <c r="E39" s="91">
        <v>14474</v>
      </c>
      <c r="F39" s="336">
        <f t="shared" si="0"/>
        <v>-500</v>
      </c>
      <c r="G39" s="487">
        <v>0</v>
      </c>
      <c r="H39" s="487">
        <v>0</v>
      </c>
      <c r="I39" s="487">
        <v>0</v>
      </c>
      <c r="J39" s="487">
        <v>0</v>
      </c>
      <c r="K39" s="487">
        <v>13974</v>
      </c>
      <c r="L39" s="488">
        <v>0</v>
      </c>
      <c r="M39" s="489">
        <v>0</v>
      </c>
      <c r="N39" s="490" t="s">
        <v>193</v>
      </c>
      <c r="O39" s="231" t="s">
        <v>193</v>
      </c>
      <c r="P39" s="489">
        <v>0</v>
      </c>
    </row>
    <row r="40" s="1" customFormat="1" ht="43.2" spans="1:16">
      <c r="A40" s="228">
        <v>1260</v>
      </c>
      <c r="B40" s="228" t="s">
        <v>194</v>
      </c>
      <c r="C40" s="335" t="s">
        <v>67</v>
      </c>
      <c r="D40" s="91">
        <v>11765.31</v>
      </c>
      <c r="E40" s="91">
        <v>19765.31</v>
      </c>
      <c r="F40" s="336">
        <f t="shared" si="0"/>
        <v>-8000</v>
      </c>
      <c r="G40" s="487">
        <v>0</v>
      </c>
      <c r="H40" s="487">
        <v>0</v>
      </c>
      <c r="I40" s="487">
        <v>0</v>
      </c>
      <c r="J40" s="487">
        <v>0</v>
      </c>
      <c r="K40" s="487">
        <v>11765.31</v>
      </c>
      <c r="L40" s="488">
        <v>0</v>
      </c>
      <c r="M40" s="489">
        <v>0</v>
      </c>
      <c r="N40" s="490" t="s">
        <v>195</v>
      </c>
      <c r="O40" s="231" t="s">
        <v>196</v>
      </c>
      <c r="P40" s="489">
        <v>0</v>
      </c>
    </row>
    <row r="41" s="1" customFormat="1" ht="43.2" spans="1:16">
      <c r="A41" s="228">
        <v>9348</v>
      </c>
      <c r="B41" s="228"/>
      <c r="C41" s="335" t="s">
        <v>197</v>
      </c>
      <c r="D41" s="91">
        <v>2991.6</v>
      </c>
      <c r="E41" s="91">
        <v>2991.6</v>
      </c>
      <c r="F41" s="336">
        <f t="shared" si="0"/>
        <v>0</v>
      </c>
      <c r="G41" s="487">
        <v>0</v>
      </c>
      <c r="H41" s="487">
        <v>0</v>
      </c>
      <c r="I41" s="487">
        <v>0</v>
      </c>
      <c r="J41" s="487">
        <v>0</v>
      </c>
      <c r="K41" s="487">
        <v>2991.6</v>
      </c>
      <c r="L41" s="488">
        <v>0</v>
      </c>
      <c r="M41" s="489">
        <v>0</v>
      </c>
      <c r="N41" s="490" t="s">
        <v>198</v>
      </c>
      <c r="O41" s="231" t="s">
        <v>198</v>
      </c>
      <c r="P41" s="489">
        <v>0</v>
      </c>
    </row>
  </sheetData>
  <autoFilter xmlns:etc="http://www.wps.cn/officeDocument/2017/etCustomData" ref="A9:P41" etc:filterBottomFollowUsedRange="0">
    <sortState ref="A9:P41">
      <sortCondition ref="G9:G10" descending="1"/>
    </sortState>
    <extLst/>
  </autoFilter>
  <mergeCells count="19">
    <mergeCell ref="E1:I1"/>
    <mergeCell ref="G8:K8"/>
    <mergeCell ref="A9:A10"/>
    <mergeCell ref="B9:B10"/>
    <mergeCell ref="C1:C2"/>
    <mergeCell ref="C9:C10"/>
    <mergeCell ref="D9:D10"/>
    <mergeCell ref="E9:E10"/>
    <mergeCell ref="F9:F10"/>
    <mergeCell ref="G9:G10"/>
    <mergeCell ref="H9:H10"/>
    <mergeCell ref="I9:I10"/>
    <mergeCell ref="J9:J10"/>
    <mergeCell ref="K9:K10"/>
    <mergeCell ref="L9:L10"/>
    <mergeCell ref="M9:M10"/>
    <mergeCell ref="N9:N10"/>
    <mergeCell ref="O9:O10"/>
    <mergeCell ref="P9:P10"/>
  </mergeCells>
  <conditionalFormatting sqref="D5:I5">
    <cfRule type="cellIs" dxfId="0" priority="1" operator="lessThan">
      <formula>0</formula>
    </cfRule>
    <cfRule type="cellIs" dxfId="1" priority="2" operator="greaterThan">
      <formula>0</formula>
    </cfRule>
  </conditionalFormatting>
  <pageMargins left="0.7" right="0.7" top="0.75" bottom="0.75" header="0.3" footer="0.3"/>
  <pageSetup paperSize="1" orientation="portrait"/>
  <headerFooter>
    <oddFooter>&amp;L&amp;1#&amp;"Calibri"&amp;10&amp;K000000John Keells Group - Confidential</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799432355723746"/>
  </sheetPr>
  <dimension ref="A1:P43"/>
  <sheetViews>
    <sheetView topLeftCell="E1" workbookViewId="0">
      <selection activeCell="K14" sqref="K14"/>
    </sheetView>
  </sheetViews>
  <sheetFormatPr defaultColWidth="9.12037037037037" defaultRowHeight="14.4"/>
  <cols>
    <col min="1" max="1" width="10.6296296296296" style="2" customWidth="1"/>
    <col min="2" max="2" width="9.12037037037037" style="2" customWidth="1"/>
    <col min="3" max="3" width="19.25" style="2" customWidth="1"/>
    <col min="4" max="4" width="13.25" style="3" customWidth="1"/>
    <col min="5" max="5" width="13.6296296296296" customWidth="1"/>
    <col min="6" max="6" width="12.75" style="3" customWidth="1"/>
    <col min="7" max="7" width="11.75" style="3" customWidth="1"/>
    <col min="8" max="9" width="12.1203703703704" style="3" customWidth="1"/>
    <col min="10" max="10" width="10.8796296296296" style="3" customWidth="1"/>
    <col min="11" max="11" width="12.25" style="3" customWidth="1"/>
    <col min="12" max="12" width="13" style="2" customWidth="1"/>
    <col min="13" max="13" width="12.75" style="2" customWidth="1"/>
    <col min="14" max="14" width="34.8796296296296" style="2" customWidth="1"/>
    <col min="15" max="15" width="28.8796296296296" style="2" customWidth="1"/>
    <col min="16" max="16" width="13.25" style="2" customWidth="1"/>
    <col min="17" max="16384" width="9.12037037037037" style="2"/>
  </cols>
  <sheetData>
    <row r="1" ht="18" spans="1:16">
      <c r="A1" s="5"/>
      <c r="B1" s="5"/>
      <c r="C1" s="262" t="s">
        <v>133</v>
      </c>
      <c r="D1" s="262" t="s">
        <v>134</v>
      </c>
      <c r="E1" s="473" t="s">
        <v>135</v>
      </c>
      <c r="F1" s="8"/>
      <c r="G1" s="8"/>
      <c r="H1" s="8"/>
      <c r="I1" s="9"/>
      <c r="J1" s="10"/>
      <c r="K1" s="10"/>
    </row>
    <row r="2" ht="15.6" spans="1:16">
      <c r="A2" s="11" t="s">
        <v>136</v>
      </c>
      <c r="B2" s="11"/>
      <c r="C2" s="263"/>
      <c r="D2" s="13" t="s">
        <v>137</v>
      </c>
      <c r="E2" s="14" t="s">
        <v>138</v>
      </c>
      <c r="F2" s="15" t="s">
        <v>139</v>
      </c>
      <c r="G2" s="15" t="s">
        <v>140</v>
      </c>
      <c r="H2" s="15" t="s">
        <v>141</v>
      </c>
      <c r="I2" s="16" t="s">
        <v>142</v>
      </c>
      <c r="J2" s="10"/>
      <c r="K2" s="10"/>
    </row>
    <row r="3" ht="15.6" spans="1:16">
      <c r="A3" s="11"/>
      <c r="B3" s="11"/>
      <c r="C3" s="17"/>
      <c r="D3" s="66"/>
      <c r="E3" s="67"/>
      <c r="F3" s="20"/>
      <c r="G3" s="20"/>
      <c r="H3" s="20"/>
      <c r="I3" s="21"/>
      <c r="J3" s="10"/>
      <c r="K3" s="10"/>
    </row>
    <row r="4" ht="15.6" spans="1:16">
      <c r="A4" s="11"/>
      <c r="B4" s="11"/>
      <c r="C4" s="17"/>
      <c r="D4" s="66"/>
      <c r="E4" s="67"/>
      <c r="F4" s="20"/>
      <c r="G4" s="20"/>
      <c r="H4" s="20"/>
      <c r="I4" s="21"/>
      <c r="J4" s="10"/>
      <c r="K4" s="10"/>
    </row>
    <row r="5" ht="16.35" spans="1:16">
      <c r="A5" s="11"/>
      <c r="B5" s="11"/>
      <c r="C5" s="266"/>
      <c r="D5" s="211"/>
      <c r="E5" s="212"/>
      <c r="F5" s="25"/>
      <c r="G5" s="25"/>
      <c r="H5" s="25"/>
      <c r="I5" s="26"/>
      <c r="J5" s="10"/>
      <c r="K5" s="10"/>
    </row>
    <row r="6" ht="15.6" spans="1:16">
      <c r="A6" s="11"/>
      <c r="B6" s="11"/>
      <c r="D6" s="10"/>
      <c r="E6" s="29"/>
      <c r="F6" s="10"/>
      <c r="G6" s="10"/>
      <c r="H6" s="10"/>
      <c r="I6" s="10"/>
      <c r="J6" s="10"/>
      <c r="K6" s="10"/>
    </row>
    <row r="7" ht="15.15" spans="1:16">
      <c r="A7" s="27"/>
      <c r="B7" s="27"/>
      <c r="C7" s="27"/>
      <c r="D7" s="28"/>
      <c r="E7" s="2"/>
      <c r="F7" s="28"/>
      <c r="G7" s="28"/>
      <c r="H7" s="28"/>
      <c r="I7" s="28"/>
      <c r="J7" s="28"/>
      <c r="K7" s="28"/>
      <c r="L7" s="27"/>
      <c r="M7" s="27"/>
    </row>
    <row r="8" spans="1:16">
      <c r="A8" s="27"/>
      <c r="B8" s="27"/>
      <c r="C8" s="27"/>
      <c r="D8" s="29"/>
      <c r="E8" s="29"/>
      <c r="F8" s="30"/>
      <c r="G8" s="31" t="s">
        <v>146</v>
      </c>
      <c r="H8" s="32"/>
      <c r="I8" s="32"/>
      <c r="J8" s="32"/>
      <c r="K8" s="33"/>
      <c r="L8" s="34"/>
      <c r="M8" s="34"/>
      <c r="N8" s="35"/>
      <c r="O8" s="70"/>
    </row>
    <row r="9" ht="16.5" customHeight="1" spans="1:16">
      <c r="A9" s="36" t="s">
        <v>147</v>
      </c>
      <c r="B9" s="36" t="s">
        <v>148</v>
      </c>
      <c r="C9" s="36" t="s">
        <v>149</v>
      </c>
      <c r="D9" s="37" t="s">
        <v>199</v>
      </c>
      <c r="E9" s="37" t="s">
        <v>200</v>
      </c>
      <c r="F9" s="37" t="s">
        <v>152</v>
      </c>
      <c r="G9" s="37" t="s">
        <v>153</v>
      </c>
      <c r="H9" s="37" t="s">
        <v>154</v>
      </c>
      <c r="I9" s="37" t="s">
        <v>155</v>
      </c>
      <c r="J9" s="37" t="s">
        <v>156</v>
      </c>
      <c r="K9" s="37" t="s">
        <v>157</v>
      </c>
      <c r="L9" s="36" t="s">
        <v>201</v>
      </c>
      <c r="M9" s="36" t="s">
        <v>202</v>
      </c>
      <c r="N9" s="38" t="s">
        <v>203</v>
      </c>
      <c r="O9" s="39" t="s">
        <v>161</v>
      </c>
      <c r="P9" s="39" t="s">
        <v>204</v>
      </c>
    </row>
    <row r="10" ht="35.25" customHeight="1" spans="1:16">
      <c r="A10" s="36"/>
      <c r="B10" s="36"/>
      <c r="C10" s="36"/>
      <c r="D10" s="37"/>
      <c r="E10" s="37"/>
      <c r="F10" s="37"/>
      <c r="G10" s="37"/>
      <c r="H10" s="37"/>
      <c r="I10" s="37"/>
      <c r="J10" s="37"/>
      <c r="K10" s="37"/>
      <c r="L10" s="36"/>
      <c r="M10" s="36"/>
      <c r="N10" s="38"/>
      <c r="O10" s="41"/>
      <c r="P10" s="41"/>
    </row>
    <row r="11" ht="15.75" customHeight="1" spans="1:16">
      <c r="A11" s="325"/>
      <c r="B11" s="325"/>
      <c r="C11" s="325"/>
      <c r="D11" s="474"/>
      <c r="E11" s="474"/>
      <c r="F11" s="474"/>
      <c r="G11" s="474"/>
      <c r="H11" s="474"/>
      <c r="I11" s="474"/>
      <c r="J11" s="474"/>
      <c r="K11" s="474"/>
      <c r="L11" s="474"/>
      <c r="M11" s="474"/>
      <c r="N11" s="85"/>
      <c r="O11" s="85"/>
      <c r="P11" s="325"/>
    </row>
    <row r="12" spans="1:16">
      <c r="A12" s="475"/>
      <c r="B12" s="475"/>
      <c r="C12" s="325"/>
      <c r="D12" s="45"/>
      <c r="E12" s="45"/>
      <c r="F12" s="326">
        <f t="shared" ref="F12:F41" si="0">D12-E12</f>
        <v>0</v>
      </c>
      <c r="G12" s="476"/>
      <c r="H12" s="476"/>
      <c r="I12" s="476"/>
      <c r="J12" s="476"/>
      <c r="K12" s="476"/>
      <c r="L12" s="20"/>
      <c r="M12" s="477"/>
      <c r="N12" s="59"/>
      <c r="O12" s="59"/>
      <c r="P12" s="273"/>
    </row>
    <row r="13" spans="1:16">
      <c r="A13" s="475"/>
      <c r="B13" s="475"/>
      <c r="C13" s="325"/>
      <c r="D13" s="45"/>
      <c r="E13" s="45"/>
      <c r="F13" s="326">
        <f t="shared" si="0"/>
        <v>0</v>
      </c>
      <c r="G13" s="476"/>
      <c r="H13" s="476"/>
      <c r="I13" s="476"/>
      <c r="J13" s="476"/>
      <c r="K13" s="476"/>
      <c r="L13" s="20"/>
      <c r="M13" s="477"/>
      <c r="N13" s="59"/>
      <c r="O13" s="59"/>
      <c r="P13" s="273"/>
    </row>
    <row r="14" spans="1:16">
      <c r="A14" s="475"/>
      <c r="B14" s="475"/>
      <c r="C14" s="325"/>
      <c r="D14" s="45"/>
      <c r="E14" s="45"/>
      <c r="F14" s="326">
        <f t="shared" si="0"/>
        <v>0</v>
      </c>
      <c r="G14" s="476"/>
      <c r="H14" s="476"/>
      <c r="I14" s="476"/>
      <c r="J14" s="476"/>
      <c r="K14" s="476"/>
      <c r="L14" s="20"/>
      <c r="M14" s="477"/>
      <c r="N14" s="59"/>
      <c r="O14" s="59"/>
      <c r="P14" s="273"/>
    </row>
    <row r="15" spans="1:16">
      <c r="A15" s="475"/>
      <c r="B15" s="475"/>
      <c r="C15" s="325"/>
      <c r="D15" s="45"/>
      <c r="E15" s="45"/>
      <c r="F15" s="326">
        <f t="shared" si="0"/>
        <v>0</v>
      </c>
      <c r="G15" s="476"/>
      <c r="H15" s="476"/>
      <c r="I15" s="476"/>
      <c r="J15" s="476"/>
      <c r="K15" s="476"/>
      <c r="L15" s="20"/>
      <c r="M15" s="477"/>
      <c r="N15" s="59"/>
      <c r="O15" s="59"/>
      <c r="P15" s="273"/>
    </row>
    <row r="16" spans="1:16">
      <c r="A16" s="475"/>
      <c r="B16" s="475"/>
      <c r="C16" s="325"/>
      <c r="D16" s="45"/>
      <c r="E16" s="45"/>
      <c r="F16" s="326">
        <f t="shared" si="0"/>
        <v>0</v>
      </c>
      <c r="G16" s="476"/>
      <c r="H16" s="476"/>
      <c r="I16" s="476"/>
      <c r="J16" s="476"/>
      <c r="K16" s="476"/>
      <c r="L16" s="20"/>
      <c r="M16" s="477"/>
      <c r="N16" s="59"/>
      <c r="O16" s="59"/>
      <c r="P16" s="273"/>
    </row>
    <row r="17" spans="1:16">
      <c r="A17" s="475"/>
      <c r="B17" s="475"/>
      <c r="C17" s="325"/>
      <c r="D17" s="45"/>
      <c r="E17" s="45"/>
      <c r="F17" s="326">
        <f t="shared" si="0"/>
        <v>0</v>
      </c>
      <c r="G17" s="476"/>
      <c r="H17" s="476"/>
      <c r="I17" s="476"/>
      <c r="J17" s="476"/>
      <c r="K17" s="476"/>
      <c r="L17" s="20"/>
      <c r="M17" s="477"/>
      <c r="N17" s="59"/>
      <c r="O17" s="59"/>
      <c r="P17" s="273"/>
    </row>
    <row r="18" spans="1:16">
      <c r="A18" s="475"/>
      <c r="B18" s="475"/>
      <c r="C18" s="325"/>
      <c r="D18" s="45"/>
      <c r="E18" s="45"/>
      <c r="F18" s="326">
        <f t="shared" si="0"/>
        <v>0</v>
      </c>
      <c r="G18" s="476"/>
      <c r="H18" s="476"/>
      <c r="I18" s="476"/>
      <c r="J18" s="476"/>
      <c r="K18" s="476"/>
      <c r="L18" s="20"/>
      <c r="M18" s="477"/>
      <c r="N18" s="59"/>
      <c r="O18" s="59"/>
      <c r="P18" s="273"/>
    </row>
    <row r="19" spans="1:16">
      <c r="A19" s="475"/>
      <c r="B19" s="475"/>
      <c r="C19" s="325"/>
      <c r="D19" s="45"/>
      <c r="E19" s="45"/>
      <c r="F19" s="326">
        <f t="shared" si="0"/>
        <v>0</v>
      </c>
      <c r="G19" s="476"/>
      <c r="H19" s="476"/>
      <c r="I19" s="476"/>
      <c r="J19" s="476"/>
      <c r="K19" s="476"/>
      <c r="L19" s="20"/>
      <c r="M19" s="477"/>
      <c r="N19" s="59"/>
      <c r="O19" s="59"/>
      <c r="P19" s="273"/>
    </row>
    <row r="20" spans="1:16">
      <c r="A20" s="475"/>
      <c r="B20" s="475"/>
      <c r="C20" s="325"/>
      <c r="D20" s="45"/>
      <c r="E20" s="45"/>
      <c r="F20" s="326">
        <f t="shared" si="0"/>
        <v>0</v>
      </c>
      <c r="G20" s="476"/>
      <c r="H20" s="476"/>
      <c r="I20" s="476"/>
      <c r="J20" s="476"/>
      <c r="K20" s="476"/>
      <c r="L20" s="20"/>
      <c r="M20" s="477"/>
      <c r="N20" s="59"/>
      <c r="O20" s="59"/>
      <c r="P20" s="273"/>
    </row>
    <row r="21" spans="1:16">
      <c r="A21" s="475"/>
      <c r="B21" s="475"/>
      <c r="C21" s="325"/>
      <c r="D21" s="45"/>
      <c r="E21" s="45"/>
      <c r="F21" s="326">
        <f t="shared" si="0"/>
        <v>0</v>
      </c>
      <c r="G21" s="476"/>
      <c r="H21" s="476"/>
      <c r="I21" s="476"/>
      <c r="J21" s="476"/>
      <c r="K21" s="476"/>
      <c r="L21" s="20"/>
      <c r="M21" s="477"/>
      <c r="N21" s="59"/>
      <c r="O21" s="59"/>
      <c r="P21" s="273"/>
    </row>
    <row r="22" spans="1:16">
      <c r="A22" s="475"/>
      <c r="B22" s="475"/>
      <c r="C22" s="325"/>
      <c r="D22" s="45"/>
      <c r="E22" s="45"/>
      <c r="F22" s="326">
        <f t="shared" si="0"/>
        <v>0</v>
      </c>
      <c r="G22" s="476"/>
      <c r="H22" s="476"/>
      <c r="I22" s="476"/>
      <c r="J22" s="476"/>
      <c r="K22" s="476"/>
      <c r="L22" s="20"/>
      <c r="M22" s="477"/>
      <c r="N22" s="59"/>
      <c r="O22" s="59"/>
      <c r="P22" s="273"/>
    </row>
    <row r="23" spans="1:16">
      <c r="A23" s="475"/>
      <c r="B23" s="475"/>
      <c r="C23" s="325"/>
      <c r="D23" s="45"/>
      <c r="E23" s="45"/>
      <c r="F23" s="326">
        <f t="shared" si="0"/>
        <v>0</v>
      </c>
      <c r="G23" s="476"/>
      <c r="H23" s="476"/>
      <c r="I23" s="476"/>
      <c r="J23" s="476"/>
      <c r="K23" s="476"/>
      <c r="L23" s="20"/>
      <c r="M23" s="477"/>
      <c r="N23" s="59"/>
      <c r="O23" s="59"/>
      <c r="P23" s="273"/>
    </row>
    <row r="24" spans="1:16">
      <c r="A24" s="223"/>
      <c r="B24" s="223"/>
      <c r="C24" s="85"/>
      <c r="D24" s="57"/>
      <c r="E24" s="57"/>
      <c r="F24" s="330">
        <f t="shared" si="0"/>
        <v>0</v>
      </c>
      <c r="G24" s="478"/>
      <c r="H24" s="478"/>
      <c r="I24" s="478"/>
      <c r="J24" s="478"/>
      <c r="K24" s="478"/>
      <c r="L24" s="20"/>
      <c r="M24" s="477"/>
      <c r="N24" s="59"/>
      <c r="O24" s="85"/>
      <c r="P24" s="273"/>
    </row>
    <row r="25" spans="1:16">
      <c r="A25" s="475"/>
      <c r="B25" s="475"/>
      <c r="C25" s="325"/>
      <c r="D25" s="45"/>
      <c r="E25" s="45"/>
      <c r="F25" s="326">
        <f t="shared" si="0"/>
        <v>0</v>
      </c>
      <c r="G25" s="476"/>
      <c r="H25" s="476"/>
      <c r="I25" s="476"/>
      <c r="J25" s="476"/>
      <c r="K25" s="476"/>
      <c r="L25" s="20"/>
      <c r="M25" s="477"/>
      <c r="N25" s="59"/>
      <c r="O25" s="59"/>
      <c r="P25" s="273"/>
    </row>
    <row r="26" spans="1:16">
      <c r="A26" s="475"/>
      <c r="B26" s="475"/>
      <c r="C26" s="325"/>
      <c r="D26" s="45"/>
      <c r="E26" s="45"/>
      <c r="F26" s="326">
        <f t="shared" si="0"/>
        <v>0</v>
      </c>
      <c r="G26" s="476"/>
      <c r="H26" s="476"/>
      <c r="I26" s="476"/>
      <c r="J26" s="476"/>
      <c r="K26" s="476"/>
      <c r="L26" s="20"/>
      <c r="M26" s="477"/>
      <c r="N26" s="59"/>
      <c r="O26" s="59"/>
      <c r="P26" s="273"/>
    </row>
    <row r="27" spans="1:16">
      <c r="A27" s="475"/>
      <c r="B27" s="475"/>
      <c r="C27" s="325"/>
      <c r="D27" s="45"/>
      <c r="E27" s="45"/>
      <c r="F27" s="326">
        <f t="shared" si="0"/>
        <v>0</v>
      </c>
      <c r="G27" s="476"/>
      <c r="H27" s="476"/>
      <c r="I27" s="476"/>
      <c r="J27" s="476"/>
      <c r="K27" s="476"/>
      <c r="L27" s="20"/>
      <c r="M27" s="477"/>
      <c r="N27" s="59"/>
      <c r="O27" s="59"/>
      <c r="P27" s="273"/>
    </row>
    <row r="28" spans="1:16">
      <c r="A28" s="475"/>
      <c r="B28" s="475"/>
      <c r="C28" s="325"/>
      <c r="D28" s="45"/>
      <c r="E28" s="45"/>
      <c r="F28" s="326">
        <f t="shared" si="0"/>
        <v>0</v>
      </c>
      <c r="G28" s="476"/>
      <c r="H28" s="476"/>
      <c r="I28" s="476"/>
      <c r="J28" s="476"/>
      <c r="K28" s="476"/>
      <c r="L28" s="20"/>
      <c r="M28" s="477"/>
      <c r="N28" s="59"/>
      <c r="O28" s="59"/>
      <c r="P28" s="273"/>
    </row>
    <row r="29" spans="1:16">
      <c r="A29" s="475"/>
      <c r="B29" s="475"/>
      <c r="C29" s="325"/>
      <c r="D29" s="45"/>
      <c r="E29" s="45"/>
      <c r="F29" s="326">
        <f t="shared" si="0"/>
        <v>0</v>
      </c>
      <c r="G29" s="476"/>
      <c r="H29" s="476"/>
      <c r="I29" s="476"/>
      <c r="J29" s="476"/>
      <c r="K29" s="476"/>
      <c r="L29" s="20"/>
      <c r="M29" s="477"/>
      <c r="N29" s="59"/>
      <c r="O29" s="59"/>
      <c r="P29" s="273"/>
    </row>
    <row r="30" spans="1:16">
      <c r="A30" s="475"/>
      <c r="B30" s="475"/>
      <c r="C30" s="325"/>
      <c r="D30" s="45"/>
      <c r="E30" s="45"/>
      <c r="F30" s="326">
        <f t="shared" si="0"/>
        <v>0</v>
      </c>
      <c r="G30" s="476"/>
      <c r="H30" s="476"/>
      <c r="I30" s="476"/>
      <c r="J30" s="476"/>
      <c r="K30" s="476"/>
      <c r="L30" s="20"/>
      <c r="M30" s="477"/>
      <c r="N30" s="59"/>
      <c r="O30" s="59"/>
      <c r="P30" s="273"/>
    </row>
    <row r="31" spans="1:16">
      <c r="A31" s="475"/>
      <c r="B31" s="475"/>
      <c r="C31" s="325"/>
      <c r="D31" s="45"/>
      <c r="E31" s="45"/>
      <c r="F31" s="326">
        <f t="shared" si="0"/>
        <v>0</v>
      </c>
      <c r="G31" s="476"/>
      <c r="H31" s="476"/>
      <c r="I31" s="476"/>
      <c r="J31" s="476"/>
      <c r="K31" s="476"/>
      <c r="L31" s="20"/>
      <c r="M31" s="477"/>
      <c r="N31" s="59"/>
      <c r="O31" s="59"/>
      <c r="P31" s="273"/>
    </row>
    <row r="32" spans="1:16">
      <c r="A32" s="475"/>
      <c r="B32" s="475"/>
      <c r="C32" s="325"/>
      <c r="D32" s="45"/>
      <c r="E32" s="45"/>
      <c r="F32" s="326">
        <f t="shared" si="0"/>
        <v>0</v>
      </c>
      <c r="G32" s="476"/>
      <c r="H32" s="476"/>
      <c r="I32" s="476"/>
      <c r="J32" s="476"/>
      <c r="K32" s="476"/>
      <c r="L32" s="20"/>
      <c r="M32" s="477"/>
      <c r="N32" s="59"/>
      <c r="O32" s="59"/>
      <c r="P32" s="273"/>
    </row>
    <row r="33" spans="1:16">
      <c r="A33" s="475"/>
      <c r="B33" s="475"/>
      <c r="C33" s="325"/>
      <c r="D33" s="45"/>
      <c r="E33" s="45"/>
      <c r="F33" s="326">
        <f t="shared" si="0"/>
        <v>0</v>
      </c>
      <c r="G33" s="476"/>
      <c r="H33" s="476"/>
      <c r="I33" s="476"/>
      <c r="J33" s="476"/>
      <c r="K33" s="476"/>
      <c r="L33" s="20"/>
      <c r="M33" s="477"/>
      <c r="N33" s="59"/>
      <c r="O33" s="59"/>
      <c r="P33" s="273"/>
    </row>
    <row r="34" spans="1:16">
      <c r="A34" s="475"/>
      <c r="B34" s="475"/>
      <c r="C34" s="325"/>
      <c r="D34" s="45"/>
      <c r="E34" s="45"/>
      <c r="F34" s="326">
        <f t="shared" si="0"/>
        <v>0</v>
      </c>
      <c r="G34" s="476"/>
      <c r="H34" s="476"/>
      <c r="I34" s="476"/>
      <c r="J34" s="476"/>
      <c r="K34" s="476"/>
      <c r="L34" s="20"/>
      <c r="M34" s="477"/>
      <c r="N34" s="59"/>
      <c r="O34" s="59"/>
      <c r="P34" s="273"/>
    </row>
    <row r="35" spans="1:16">
      <c r="A35" s="475"/>
      <c r="B35" s="475"/>
      <c r="C35" s="325"/>
      <c r="D35" s="45"/>
      <c r="E35" s="45"/>
      <c r="F35" s="326">
        <f t="shared" si="0"/>
        <v>0</v>
      </c>
      <c r="G35" s="476"/>
      <c r="H35" s="476"/>
      <c r="I35" s="476"/>
      <c r="J35" s="476"/>
      <c r="K35" s="476"/>
      <c r="L35" s="20"/>
      <c r="M35" s="477"/>
      <c r="N35" s="59"/>
      <c r="O35" s="59"/>
      <c r="P35" s="273"/>
    </row>
    <row r="36" spans="1:16">
      <c r="A36" s="475"/>
      <c r="B36" s="475"/>
      <c r="C36" s="325"/>
      <c r="D36" s="45"/>
      <c r="E36" s="45"/>
      <c r="F36" s="326">
        <f t="shared" si="0"/>
        <v>0</v>
      </c>
      <c r="G36" s="476"/>
      <c r="H36" s="476"/>
      <c r="I36" s="476"/>
      <c r="J36" s="476"/>
      <c r="K36" s="476"/>
      <c r="L36" s="20"/>
      <c r="M36" s="477"/>
      <c r="N36" s="59"/>
      <c r="O36" s="59"/>
      <c r="P36" s="273"/>
    </row>
    <row r="37" spans="1:16">
      <c r="A37" s="475"/>
      <c r="B37" s="475"/>
      <c r="C37" s="325"/>
      <c r="D37" s="45"/>
      <c r="E37" s="45"/>
      <c r="F37" s="326">
        <f t="shared" si="0"/>
        <v>0</v>
      </c>
      <c r="G37" s="476"/>
      <c r="H37" s="476"/>
      <c r="I37" s="476"/>
      <c r="J37" s="476"/>
      <c r="K37" s="476"/>
      <c r="L37" s="20"/>
      <c r="M37" s="477"/>
      <c r="N37" s="59"/>
      <c r="O37" s="59"/>
      <c r="P37" s="273"/>
    </row>
    <row r="38" spans="1:16">
      <c r="A38" s="475"/>
      <c r="B38" s="475"/>
      <c r="C38" s="325"/>
      <c r="D38" s="45"/>
      <c r="E38" s="45"/>
      <c r="F38" s="326">
        <f t="shared" si="0"/>
        <v>0</v>
      </c>
      <c r="G38" s="476"/>
      <c r="H38" s="476"/>
      <c r="I38" s="476"/>
      <c r="J38" s="476"/>
      <c r="K38" s="476"/>
      <c r="L38" s="20"/>
      <c r="M38" s="477"/>
      <c r="N38" s="59"/>
      <c r="O38" s="59"/>
      <c r="P38" s="273"/>
    </row>
    <row r="39" spans="1:16">
      <c r="A39" s="475"/>
      <c r="B39" s="475"/>
      <c r="C39" s="325"/>
      <c r="D39" s="45"/>
      <c r="E39" s="45"/>
      <c r="F39" s="326">
        <f t="shared" si="0"/>
        <v>0</v>
      </c>
      <c r="G39" s="476"/>
      <c r="H39" s="476"/>
      <c r="I39" s="476"/>
      <c r="J39" s="476"/>
      <c r="K39" s="476"/>
      <c r="L39" s="20"/>
      <c r="M39" s="477"/>
      <c r="N39" s="59"/>
      <c r="O39" s="59"/>
      <c r="P39" s="273"/>
    </row>
    <row r="40" spans="1:16">
      <c r="A40" s="475"/>
      <c r="B40" s="475"/>
      <c r="C40" s="325"/>
      <c r="D40" s="45"/>
      <c r="E40" s="45"/>
      <c r="F40" s="326">
        <f t="shared" si="0"/>
        <v>0</v>
      </c>
      <c r="G40" s="476"/>
      <c r="H40" s="476"/>
      <c r="I40" s="476"/>
      <c r="J40" s="476"/>
      <c r="K40" s="476"/>
      <c r="L40" s="20"/>
      <c r="M40" s="477"/>
      <c r="N40" s="59"/>
      <c r="O40" s="59"/>
      <c r="P40" s="273"/>
    </row>
    <row r="41" spans="1:16">
      <c r="A41" s="475"/>
      <c r="B41" s="475"/>
      <c r="C41" s="325"/>
      <c r="D41" s="45"/>
      <c r="E41" s="45"/>
      <c r="F41" s="326">
        <f t="shared" si="0"/>
        <v>0</v>
      </c>
      <c r="G41" s="476"/>
      <c r="H41" s="476"/>
      <c r="I41" s="476"/>
      <c r="J41" s="476"/>
      <c r="K41" s="476"/>
      <c r="L41" s="20"/>
      <c r="M41" s="477"/>
      <c r="N41" s="59"/>
      <c r="O41" s="59"/>
      <c r="P41" s="273"/>
    </row>
    <row r="42" ht="32.25" customHeight="1" spans="1:16">
      <c r="A42" s="479"/>
      <c r="B42" s="479"/>
      <c r="D42" s="81"/>
      <c r="E42" s="81"/>
      <c r="F42" s="480"/>
      <c r="G42" s="481"/>
      <c r="H42" s="481"/>
      <c r="I42" s="481"/>
      <c r="J42" s="481"/>
      <c r="K42" s="481"/>
      <c r="L42" s="482"/>
      <c r="M42" s="483"/>
      <c r="N42" s="484"/>
      <c r="O42" s="484"/>
      <c r="P42" s="87"/>
    </row>
    <row r="43" ht="15.15"/>
  </sheetData>
  <autoFilter xmlns:etc="http://www.wps.cn/officeDocument/2017/etCustomData" ref="A9:P42" etc:filterBottomFollowUsedRange="0">
    <sortState ref="A9:P42">
      <sortCondition ref="G9:G42" descending="1"/>
    </sortState>
    <extLst/>
  </autoFilter>
  <mergeCells count="19">
    <mergeCell ref="E1:I1"/>
    <mergeCell ref="G8:K8"/>
    <mergeCell ref="A9:A10"/>
    <mergeCell ref="B9:B10"/>
    <mergeCell ref="C1:C2"/>
    <mergeCell ref="C9:C10"/>
    <mergeCell ref="D9:D10"/>
    <mergeCell ref="E9:E10"/>
    <mergeCell ref="F9:F10"/>
    <mergeCell ref="G9:G10"/>
    <mergeCell ref="H9:H10"/>
    <mergeCell ref="I9:I10"/>
    <mergeCell ref="J9:J10"/>
    <mergeCell ref="K9:K10"/>
    <mergeCell ref="L9:L10"/>
    <mergeCell ref="M9:M10"/>
    <mergeCell ref="N9:N10"/>
    <mergeCell ref="O9:O10"/>
    <mergeCell ref="P9:P10"/>
  </mergeCells>
  <conditionalFormatting sqref="D5:I5">
    <cfRule type="cellIs" dxfId="0" priority="1" operator="lessThan">
      <formula>0</formula>
    </cfRule>
    <cfRule type="cellIs" dxfId="1" priority="2" operator="greaterThan">
      <formula>0</formula>
    </cfRule>
  </conditionalFormatting>
  <pageMargins left="0.7" right="0.7" top="0.75" bottom="0.75" header="0.3" footer="0.3"/>
  <pageSetup paperSize="1" orientation="portrait"/>
  <headerFooter>
    <oddFooter>&amp;L&amp;1#&amp;"Calibri"&amp;10&amp;K000000John Keells Group - Confidential</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799432355723746"/>
  </sheetPr>
  <dimension ref="A1:S164"/>
  <sheetViews>
    <sheetView tabSelected="1" zoomScale="75" zoomScaleNormal="75" workbookViewId="0">
      <pane ySplit="11" topLeftCell="A12" activePane="bottomLeft" state="frozen"/>
      <selection/>
      <selection pane="bottomLeft" activeCell="J20" sqref="J20"/>
    </sheetView>
  </sheetViews>
  <sheetFormatPr defaultColWidth="9.12037037037037" defaultRowHeight="14.4"/>
  <cols>
    <col min="1" max="1" width="6.12037037037037" style="70" customWidth="1"/>
    <col min="2" max="2" width="10.1203703703704" style="70" customWidth="1"/>
    <col min="3" max="3" width="27" style="70" customWidth="1"/>
    <col min="4" max="4" width="14" style="347" customWidth="1"/>
    <col min="5" max="5" width="14" style="348" customWidth="1"/>
    <col min="6" max="6" width="14" style="347" customWidth="1"/>
    <col min="7" max="7" width="15.6296296296296" style="347" customWidth="1"/>
    <col min="8" max="8" width="13.3703703703704" style="347" customWidth="1"/>
    <col min="9" max="9" width="11.3703703703704" style="347" customWidth="1"/>
    <col min="10" max="10" width="11.8796296296296" style="347" customWidth="1"/>
    <col min="11" max="11" width="15.1203703703704" style="347" customWidth="1"/>
    <col min="12" max="12" width="13" style="70" customWidth="1"/>
    <col min="13" max="13" width="12.6296296296296" style="349" customWidth="1"/>
    <col min="14" max="14" width="43" style="79" customWidth="1"/>
    <col min="15" max="15" width="34.5092592592593" style="350" hidden="1" customWidth="1"/>
    <col min="16" max="16" width="15.6296296296296" style="351" customWidth="1"/>
    <col min="17" max="17" width="12.1203703703704" style="352" customWidth="1"/>
    <col min="18" max="18" width="16.1203703703704" style="352" customWidth="1"/>
    <col min="19" max="19" width="14.8796296296296" style="352" customWidth="1"/>
    <col min="20" max="16384" width="9.12037037037037" style="353"/>
  </cols>
  <sheetData>
    <row r="1" ht="19.5" customHeight="1" spans="1:19">
      <c r="A1" s="354"/>
      <c r="B1" s="354"/>
      <c r="C1" s="262" t="s">
        <v>133</v>
      </c>
      <c r="D1" s="262" t="s">
        <v>134</v>
      </c>
      <c r="E1" s="355" t="s">
        <v>135</v>
      </c>
      <c r="F1" s="356"/>
      <c r="G1" s="356"/>
      <c r="H1" s="356"/>
      <c r="I1" s="357"/>
      <c r="J1" s="358"/>
      <c r="L1" s="359"/>
      <c r="M1" s="360" t="s">
        <v>205</v>
      </c>
    </row>
    <row r="2" ht="19.5" customHeight="1" spans="1:19">
      <c r="A2" s="361" t="s">
        <v>206</v>
      </c>
      <c r="B2" s="361"/>
      <c r="C2" s="362"/>
      <c r="D2" s="363" t="s">
        <v>137</v>
      </c>
      <c r="E2" s="364" t="s">
        <v>138</v>
      </c>
      <c r="F2" s="365" t="s">
        <v>139</v>
      </c>
      <c r="G2" s="365" t="s">
        <v>140</v>
      </c>
      <c r="H2" s="365" t="s">
        <v>141</v>
      </c>
      <c r="I2" s="366" t="s">
        <v>142</v>
      </c>
      <c r="J2" s="358"/>
      <c r="L2" s="367"/>
      <c r="M2" s="360" t="s">
        <v>207</v>
      </c>
    </row>
    <row r="3" ht="19.5" customHeight="1" spans="1:19">
      <c r="A3" s="361"/>
      <c r="B3" s="361"/>
      <c r="C3" s="368" t="s">
        <v>208</v>
      </c>
      <c r="D3" s="369">
        <v>1350180.4</v>
      </c>
      <c r="E3" s="369">
        <v>867430.61</v>
      </c>
      <c r="F3" s="369">
        <v>0</v>
      </c>
      <c r="G3" s="369">
        <v>0</v>
      </c>
      <c r="H3" s="369">
        <v>0</v>
      </c>
      <c r="I3" s="370">
        <v>482749.79</v>
      </c>
      <c r="J3" s="358"/>
      <c r="L3" s="371"/>
      <c r="M3" s="360" t="s">
        <v>209</v>
      </c>
    </row>
    <row r="4" ht="19.5" customHeight="1" spans="1:19">
      <c r="A4" s="361"/>
      <c r="B4" s="361"/>
      <c r="C4" s="372" t="s">
        <v>210</v>
      </c>
      <c r="D4" s="373">
        <v>1670683.35</v>
      </c>
      <c r="E4" s="373">
        <v>1187933.56</v>
      </c>
      <c r="F4" s="373">
        <v>0</v>
      </c>
      <c r="G4" s="373">
        <v>0</v>
      </c>
      <c r="H4" s="373">
        <v>0</v>
      </c>
      <c r="I4" s="373">
        <v>482749.79</v>
      </c>
      <c r="J4" s="358"/>
      <c r="L4" s="374"/>
      <c r="M4" s="360" t="s">
        <v>211</v>
      </c>
    </row>
    <row r="5" ht="19.5" customHeight="1" spans="1:19">
      <c r="A5" s="361"/>
      <c r="B5" s="361"/>
      <c r="C5" s="375" t="s">
        <v>145</v>
      </c>
      <c r="D5" s="376">
        <f t="shared" ref="D5:I5" si="0">D3-D4</f>
        <v>-320502.949999999</v>
      </c>
      <c r="E5" s="376">
        <f t="shared" si="0"/>
        <v>-320502.95</v>
      </c>
      <c r="F5" s="376">
        <f t="shared" si="0"/>
        <v>0</v>
      </c>
      <c r="G5" s="376">
        <f t="shared" si="0"/>
        <v>0</v>
      </c>
      <c r="H5" s="376">
        <f t="shared" si="0"/>
        <v>0</v>
      </c>
      <c r="I5" s="377">
        <f t="shared" si="0"/>
        <v>0</v>
      </c>
      <c r="J5" s="358"/>
      <c r="L5" s="378"/>
      <c r="M5" s="360" t="s">
        <v>212</v>
      </c>
    </row>
    <row r="6" ht="18.6" customHeight="1" spans="1:19">
      <c r="A6" s="361"/>
      <c r="B6" s="361"/>
      <c r="D6" s="358"/>
      <c r="E6" s="379"/>
      <c r="F6" s="380"/>
      <c r="G6" s="381"/>
      <c r="H6" s="358"/>
      <c r="I6" s="358"/>
      <c r="J6" s="358"/>
      <c r="K6" s="358"/>
      <c r="L6" s="382"/>
      <c r="M6" s="360" t="s">
        <v>213</v>
      </c>
      <c r="N6" s="353"/>
      <c r="O6" s="353"/>
      <c r="P6" s="383"/>
    </row>
    <row r="7" ht="16.35" spans="1:19">
      <c r="A7" s="361"/>
      <c r="B7" s="361"/>
      <c r="D7" s="384"/>
      <c r="E7" s="385"/>
      <c r="F7" s="384"/>
      <c r="G7" s="384"/>
      <c r="H7" s="384"/>
      <c r="I7" s="386"/>
      <c r="J7" s="358"/>
      <c r="K7" s="358"/>
      <c r="L7" s="387"/>
      <c r="M7" s="360" t="s">
        <v>214</v>
      </c>
      <c r="N7" s="353"/>
      <c r="O7" s="353"/>
      <c r="P7" s="383"/>
    </row>
    <row r="8" ht="8.25" customHeight="1" spans="1:19">
      <c r="A8" s="361"/>
      <c r="B8" s="361"/>
      <c r="D8" s="358"/>
      <c r="E8" s="379"/>
      <c r="F8" s="358"/>
      <c r="G8" s="358"/>
      <c r="H8" s="358"/>
      <c r="I8" s="358"/>
      <c r="J8" s="358"/>
      <c r="K8" s="358"/>
      <c r="L8" s="388"/>
      <c r="M8" s="389"/>
      <c r="N8" s="353"/>
      <c r="O8" s="353"/>
      <c r="P8" s="383"/>
    </row>
    <row r="9" ht="15.75" customHeight="1" spans="1:19">
      <c r="A9" s="34"/>
      <c r="B9" s="34"/>
      <c r="C9" s="34"/>
      <c r="D9" s="29"/>
      <c r="E9" s="390"/>
      <c r="F9" s="391"/>
      <c r="G9" s="392" t="s">
        <v>146</v>
      </c>
      <c r="H9" s="393"/>
      <c r="I9" s="393"/>
      <c r="J9" s="393"/>
      <c r="K9" s="394"/>
      <c r="L9" s="34"/>
      <c r="M9" s="395"/>
      <c r="N9" s="396"/>
    </row>
    <row r="10" ht="16.5" customHeight="1" spans="1:19">
      <c r="A10" s="397" t="s">
        <v>148</v>
      </c>
      <c r="B10" s="397" t="s">
        <v>147</v>
      </c>
      <c r="C10" s="397" t="s">
        <v>149</v>
      </c>
      <c r="D10" s="398" t="s">
        <v>215</v>
      </c>
      <c r="E10" s="398" t="s">
        <v>216</v>
      </c>
      <c r="F10" s="398" t="s">
        <v>152</v>
      </c>
      <c r="G10" s="398" t="s">
        <v>153</v>
      </c>
      <c r="H10" s="398" t="s">
        <v>154</v>
      </c>
      <c r="I10" s="398" t="s">
        <v>155</v>
      </c>
      <c r="J10" s="398" t="s">
        <v>156</v>
      </c>
      <c r="K10" s="398" t="s">
        <v>157</v>
      </c>
      <c r="L10" s="397" t="s">
        <v>217</v>
      </c>
      <c r="M10" s="399" t="s">
        <v>218</v>
      </c>
      <c r="N10" s="400" t="s">
        <v>219</v>
      </c>
      <c r="O10" s="401" t="s">
        <v>161</v>
      </c>
      <c r="P10" s="402" t="s">
        <v>220</v>
      </c>
      <c r="Q10" s="402" t="s">
        <v>221</v>
      </c>
      <c r="R10" s="402" t="s">
        <v>222</v>
      </c>
      <c r="S10" s="402" t="s">
        <v>223</v>
      </c>
    </row>
    <row r="11" ht="56.25" customHeight="1" spans="1:19">
      <c r="A11" s="403"/>
      <c r="B11" s="403"/>
      <c r="C11" s="403"/>
      <c r="D11" s="404"/>
      <c r="E11" s="404"/>
      <c r="F11" s="404"/>
      <c r="G11" s="404"/>
      <c r="H11" s="404"/>
      <c r="I11" s="404"/>
      <c r="J11" s="404"/>
      <c r="K11" s="404"/>
      <c r="L11" s="405"/>
      <c r="M11" s="406"/>
      <c r="N11" s="407"/>
      <c r="O11" s="408"/>
      <c r="P11" s="409"/>
      <c r="Q11" s="409"/>
      <c r="R11" s="409"/>
      <c r="S11" s="409"/>
    </row>
    <row r="12" s="70" customFormat="1" spans="1:19">
      <c r="A12" s="410" t="s">
        <v>224</v>
      </c>
      <c r="B12" s="410" t="s">
        <v>225</v>
      </c>
      <c r="C12" s="410" t="s">
        <v>226</v>
      </c>
      <c r="D12" s="411">
        <v>747.15</v>
      </c>
      <c r="E12" s="412"/>
      <c r="F12" s="413">
        <f>D12-E12</f>
        <v>747.15</v>
      </c>
      <c r="G12" s="411">
        <v>747.15</v>
      </c>
      <c r="H12" s="411">
        <v>0</v>
      </c>
      <c r="I12" s="411">
        <v>0</v>
      </c>
      <c r="J12" s="411">
        <v>0</v>
      </c>
      <c r="K12" s="411">
        <v>0</v>
      </c>
      <c r="L12" s="414">
        <v>30</v>
      </c>
      <c r="M12" s="411">
        <v>21</v>
      </c>
      <c r="N12" s="415" t="s">
        <v>205</v>
      </c>
      <c r="O12" s="415"/>
      <c r="P12" s="416">
        <v>11</v>
      </c>
      <c r="Q12" s="417">
        <v>747.15</v>
      </c>
      <c r="R12" s="418"/>
      <c r="S12" s="418"/>
    </row>
    <row r="13" s="70" customFormat="1" spans="1:19">
      <c r="A13" s="410" t="s">
        <v>224</v>
      </c>
      <c r="B13" s="410" t="s">
        <v>227</v>
      </c>
      <c r="C13" s="410" t="s">
        <v>228</v>
      </c>
      <c r="D13" s="411">
        <v>370.26</v>
      </c>
      <c r="E13" s="419"/>
      <c r="F13" s="413">
        <f>D13-E13</f>
        <v>370.26</v>
      </c>
      <c r="G13" s="411">
        <v>370.26</v>
      </c>
      <c r="H13" s="411">
        <v>0</v>
      </c>
      <c r="I13" s="411">
        <v>0</v>
      </c>
      <c r="J13" s="411">
        <v>0</v>
      </c>
      <c r="K13" s="411">
        <v>0</v>
      </c>
      <c r="L13" s="414">
        <v>20</v>
      </c>
      <c r="M13" s="411">
        <v>11</v>
      </c>
      <c r="N13" s="415" t="s">
        <v>205</v>
      </c>
      <c r="O13" s="415"/>
      <c r="P13" s="420">
        <v>7</v>
      </c>
      <c r="Q13" s="417"/>
      <c r="R13" s="417">
        <v>370.26</v>
      </c>
      <c r="S13" s="418"/>
    </row>
    <row r="14" s="70" customFormat="1" spans="1:19">
      <c r="A14" s="410" t="s">
        <v>229</v>
      </c>
      <c r="B14" s="410" t="s">
        <v>230</v>
      </c>
      <c r="C14" s="410" t="s">
        <v>231</v>
      </c>
      <c r="D14" s="411">
        <v>3265.62</v>
      </c>
      <c r="E14" s="421">
        <v>1517.59</v>
      </c>
      <c r="F14" s="413">
        <f>D14-E14</f>
        <v>1748.03</v>
      </c>
      <c r="G14" s="411">
        <v>3265.62</v>
      </c>
      <c r="H14" s="411">
        <v>0</v>
      </c>
      <c r="I14" s="411">
        <v>0</v>
      </c>
      <c r="J14" s="411">
        <v>0</v>
      </c>
      <c r="K14" s="411">
        <v>0</v>
      </c>
      <c r="L14" s="414">
        <v>32</v>
      </c>
      <c r="M14" s="411">
        <v>44</v>
      </c>
      <c r="N14" s="415" t="s">
        <v>205</v>
      </c>
      <c r="O14" s="415" t="s">
        <v>205</v>
      </c>
      <c r="P14" s="416">
        <v>24</v>
      </c>
      <c r="Q14" s="417">
        <v>3265.62</v>
      </c>
      <c r="R14" s="418"/>
      <c r="S14" s="418"/>
    </row>
    <row r="15" s="70" customFormat="1" spans="1:19">
      <c r="A15" s="410" t="s">
        <v>232</v>
      </c>
      <c r="B15" s="410" t="s">
        <v>233</v>
      </c>
      <c r="C15" s="410" t="s">
        <v>234</v>
      </c>
      <c r="D15" s="411">
        <v>2855.91</v>
      </c>
      <c r="E15" s="422">
        <v>5630.91</v>
      </c>
      <c r="F15" s="413">
        <f>D15-E15</f>
        <v>-2775</v>
      </c>
      <c r="G15" s="411">
        <v>2855.91</v>
      </c>
      <c r="H15" s="411">
        <v>0</v>
      </c>
      <c r="I15" s="411">
        <v>0</v>
      </c>
      <c r="J15" s="411">
        <v>0</v>
      </c>
      <c r="K15" s="411">
        <v>0</v>
      </c>
      <c r="L15" s="414">
        <v>30</v>
      </c>
      <c r="M15" s="411">
        <v>33</v>
      </c>
      <c r="N15" s="415" t="s">
        <v>205</v>
      </c>
      <c r="O15" s="415" t="s">
        <v>205</v>
      </c>
      <c r="P15" s="416">
        <v>20</v>
      </c>
      <c r="Q15" s="417"/>
      <c r="R15" s="417">
        <v>2855.91</v>
      </c>
      <c r="S15" s="418"/>
    </row>
    <row r="16" s="70" customFormat="1" spans="1:19">
      <c r="A16" s="410" t="s">
        <v>232</v>
      </c>
      <c r="B16" s="410" t="s">
        <v>235</v>
      </c>
      <c r="C16" s="410" t="s">
        <v>236</v>
      </c>
      <c r="D16" s="411">
        <v>3418.02</v>
      </c>
      <c r="E16" s="423"/>
      <c r="F16" s="413">
        <f>D16-E16</f>
        <v>3418.02</v>
      </c>
      <c r="G16" s="411">
        <v>3418.02</v>
      </c>
      <c r="H16" s="411">
        <v>0</v>
      </c>
      <c r="I16" s="411">
        <v>0</v>
      </c>
      <c r="J16" s="411">
        <v>0</v>
      </c>
      <c r="K16" s="411">
        <v>0</v>
      </c>
      <c r="L16" s="414">
        <v>152</v>
      </c>
      <c r="M16" s="411">
        <v>131</v>
      </c>
      <c r="N16" s="415" t="s">
        <v>205</v>
      </c>
      <c r="O16" s="415"/>
      <c r="P16" s="424">
        <v>68</v>
      </c>
      <c r="Q16" s="417">
        <v>3418.02</v>
      </c>
      <c r="R16" s="418"/>
      <c r="S16" s="418"/>
    </row>
    <row r="17" s="70" customFormat="1" spans="1:19">
      <c r="A17" s="410" t="s">
        <v>237</v>
      </c>
      <c r="B17" s="410" t="s">
        <v>238</v>
      </c>
      <c r="C17" s="410" t="s">
        <v>239</v>
      </c>
      <c r="D17" s="411">
        <v>137385.5</v>
      </c>
      <c r="E17" s="422"/>
      <c r="F17" s="413">
        <f t="shared" ref="F17:F30" si="1">D17-E17</f>
        <v>137385.5</v>
      </c>
      <c r="G17" s="411">
        <v>137385.5</v>
      </c>
      <c r="H17" s="411">
        <v>0</v>
      </c>
      <c r="I17" s="411">
        <v>0</v>
      </c>
      <c r="J17" s="411">
        <v>0</v>
      </c>
      <c r="K17" s="411">
        <v>0</v>
      </c>
      <c r="L17" s="414">
        <v>3992</v>
      </c>
      <c r="M17" s="411">
        <v>3715</v>
      </c>
      <c r="N17" s="415" t="s">
        <v>205</v>
      </c>
      <c r="O17" s="415"/>
      <c r="P17" s="416">
        <v>1269</v>
      </c>
      <c r="Q17" s="417">
        <v>137385.5</v>
      </c>
      <c r="R17" s="418"/>
      <c r="S17" s="418"/>
    </row>
    <row r="18" s="70" customFormat="1" spans="1:19">
      <c r="A18" s="410" t="s">
        <v>232</v>
      </c>
      <c r="B18" s="410" t="s">
        <v>240</v>
      </c>
      <c r="C18" s="410" t="s">
        <v>241</v>
      </c>
      <c r="D18" s="411">
        <v>1078.65</v>
      </c>
      <c r="E18" s="422"/>
      <c r="F18" s="413">
        <f t="shared" si="1"/>
        <v>1078.65</v>
      </c>
      <c r="G18" s="411">
        <v>1078.65</v>
      </c>
      <c r="H18" s="411">
        <v>0</v>
      </c>
      <c r="I18" s="411">
        <v>0</v>
      </c>
      <c r="J18" s="411">
        <v>0</v>
      </c>
      <c r="K18" s="411">
        <v>0</v>
      </c>
      <c r="L18" s="414">
        <v>131</v>
      </c>
      <c r="M18" s="411">
        <v>121</v>
      </c>
      <c r="N18" s="415" t="s">
        <v>205</v>
      </c>
      <c r="O18" s="415"/>
      <c r="P18" s="416">
        <v>31</v>
      </c>
      <c r="Q18" s="417">
        <v>1078.65</v>
      </c>
      <c r="R18" s="418"/>
      <c r="S18" s="418"/>
    </row>
    <row r="19" s="70" customFormat="1" spans="1:19">
      <c r="A19" s="410" t="s">
        <v>229</v>
      </c>
      <c r="B19" s="410" t="s">
        <v>242</v>
      </c>
      <c r="C19" s="410" t="s">
        <v>243</v>
      </c>
      <c r="D19" s="411">
        <v>6095.81</v>
      </c>
      <c r="E19" s="412">
        <v>8607.78</v>
      </c>
      <c r="F19" s="413">
        <f t="shared" si="1"/>
        <v>-2511.97</v>
      </c>
      <c r="G19" s="411">
        <v>6095.81</v>
      </c>
      <c r="H19" s="411">
        <v>0</v>
      </c>
      <c r="I19" s="411">
        <v>0</v>
      </c>
      <c r="J19" s="411">
        <v>0</v>
      </c>
      <c r="K19" s="411">
        <v>0</v>
      </c>
      <c r="L19" s="414">
        <v>94</v>
      </c>
      <c r="M19" s="411">
        <v>97</v>
      </c>
      <c r="N19" s="415" t="s">
        <v>205</v>
      </c>
      <c r="O19" s="415" t="s">
        <v>205</v>
      </c>
      <c r="P19" s="416">
        <v>31</v>
      </c>
      <c r="Q19" s="417">
        <v>6095.81</v>
      </c>
      <c r="R19" s="418"/>
      <c r="S19" s="418"/>
    </row>
    <row r="20" s="70" customFormat="1" spans="1:19">
      <c r="A20" s="410" t="s">
        <v>224</v>
      </c>
      <c r="B20" s="410" t="s">
        <v>244</v>
      </c>
      <c r="C20" s="410" t="s">
        <v>245</v>
      </c>
      <c r="D20" s="411">
        <v>12651.79</v>
      </c>
      <c r="E20" s="423">
        <v>25196.22</v>
      </c>
      <c r="F20" s="413">
        <f t="shared" si="1"/>
        <v>-12544.43</v>
      </c>
      <c r="G20" s="411">
        <v>12651.79</v>
      </c>
      <c r="H20" s="411">
        <v>0</v>
      </c>
      <c r="I20" s="411">
        <v>0</v>
      </c>
      <c r="J20" s="411">
        <v>0</v>
      </c>
      <c r="K20" s="411">
        <v>0</v>
      </c>
      <c r="L20" s="414">
        <v>297</v>
      </c>
      <c r="M20" s="411">
        <v>266</v>
      </c>
      <c r="N20" s="415" t="s">
        <v>205</v>
      </c>
      <c r="O20" s="415" t="s">
        <v>205</v>
      </c>
      <c r="P20" s="416">
        <v>140</v>
      </c>
      <c r="Q20" s="417">
        <v>12651.79</v>
      </c>
      <c r="R20" s="418"/>
      <c r="S20" s="418"/>
    </row>
    <row r="21" s="70" customFormat="1" spans="1:19">
      <c r="A21" s="410" t="s">
        <v>229</v>
      </c>
      <c r="B21" s="410" t="s">
        <v>246</v>
      </c>
      <c r="C21" s="410" t="s">
        <v>247</v>
      </c>
      <c r="D21" s="411">
        <v>3659.29</v>
      </c>
      <c r="E21" s="425">
        <v>11925.54</v>
      </c>
      <c r="F21" s="413">
        <f t="shared" si="1"/>
        <v>-8266.25</v>
      </c>
      <c r="G21" s="411">
        <v>3659.29</v>
      </c>
      <c r="H21" s="411">
        <v>0</v>
      </c>
      <c r="I21" s="411">
        <v>0</v>
      </c>
      <c r="J21" s="411">
        <v>0</v>
      </c>
      <c r="K21" s="411">
        <v>0</v>
      </c>
      <c r="L21" s="414">
        <v>74</v>
      </c>
      <c r="M21" s="411">
        <v>107</v>
      </c>
      <c r="N21" s="415" t="s">
        <v>205</v>
      </c>
      <c r="O21" s="415" t="s">
        <v>205</v>
      </c>
      <c r="P21" s="416">
        <v>41</v>
      </c>
      <c r="Q21" s="417">
        <v>3659.29</v>
      </c>
      <c r="R21" s="418"/>
      <c r="S21" s="418"/>
    </row>
    <row r="22" s="70" customFormat="1" spans="1:19">
      <c r="A22" s="410" t="s">
        <v>224</v>
      </c>
      <c r="B22" s="410" t="s">
        <v>248</v>
      </c>
      <c r="C22" s="410" t="s">
        <v>249</v>
      </c>
      <c r="D22" s="411">
        <v>263.63</v>
      </c>
      <c r="E22" s="412">
        <v>3389.46</v>
      </c>
      <c r="F22" s="413">
        <f t="shared" si="1"/>
        <v>-3125.83</v>
      </c>
      <c r="G22" s="411">
        <v>263.63</v>
      </c>
      <c r="H22" s="411">
        <v>0</v>
      </c>
      <c r="I22" s="411">
        <v>0</v>
      </c>
      <c r="J22" s="411">
        <v>0</v>
      </c>
      <c r="K22" s="411">
        <v>0</v>
      </c>
      <c r="L22" s="414">
        <v>40</v>
      </c>
      <c r="M22" s="411">
        <v>32</v>
      </c>
      <c r="N22" s="415" t="s">
        <v>205</v>
      </c>
      <c r="O22" s="415" t="s">
        <v>205</v>
      </c>
      <c r="P22" s="416">
        <v>9</v>
      </c>
      <c r="Q22" s="417">
        <v>263.63</v>
      </c>
      <c r="R22" s="418"/>
      <c r="S22" s="418"/>
    </row>
    <row r="23" s="70" customFormat="1" spans="1:19">
      <c r="A23" s="410" t="s">
        <v>224</v>
      </c>
      <c r="B23" s="410" t="s">
        <v>250</v>
      </c>
      <c r="C23" s="410" t="s">
        <v>251</v>
      </c>
      <c r="D23" s="411">
        <v>623.22</v>
      </c>
      <c r="E23" s="421"/>
      <c r="F23" s="413">
        <f t="shared" si="1"/>
        <v>623.22</v>
      </c>
      <c r="G23" s="411">
        <v>623.22</v>
      </c>
      <c r="H23" s="411">
        <v>0</v>
      </c>
      <c r="I23" s="411">
        <v>0</v>
      </c>
      <c r="J23" s="411">
        <v>0</v>
      </c>
      <c r="K23" s="411">
        <v>0</v>
      </c>
      <c r="L23" s="414">
        <v>122</v>
      </c>
      <c r="M23" s="411">
        <v>91</v>
      </c>
      <c r="N23" s="415" t="s">
        <v>205</v>
      </c>
      <c r="O23" s="415"/>
      <c r="P23" s="416">
        <v>40</v>
      </c>
      <c r="Q23" s="417">
        <v>623.22</v>
      </c>
      <c r="R23" s="418"/>
      <c r="S23" s="418"/>
    </row>
    <row r="24" s="70" customFormat="1" spans="1:19">
      <c r="A24" s="410" t="s">
        <v>252</v>
      </c>
      <c r="B24" s="410" t="s">
        <v>253</v>
      </c>
      <c r="C24" s="410" t="s">
        <v>254</v>
      </c>
      <c r="D24" s="411">
        <v>30694.29</v>
      </c>
      <c r="E24" s="421">
        <v>21325.94</v>
      </c>
      <c r="F24" s="413">
        <f t="shared" si="1"/>
        <v>9368.35</v>
      </c>
      <c r="G24" s="411">
        <v>30694.29</v>
      </c>
      <c r="H24" s="411">
        <v>0</v>
      </c>
      <c r="I24" s="411">
        <v>0</v>
      </c>
      <c r="J24" s="411">
        <v>0</v>
      </c>
      <c r="K24" s="411">
        <v>0</v>
      </c>
      <c r="L24" s="414">
        <v>407</v>
      </c>
      <c r="M24" s="411">
        <v>443</v>
      </c>
      <c r="N24" s="415" t="s">
        <v>205</v>
      </c>
      <c r="O24" s="415" t="s">
        <v>205</v>
      </c>
      <c r="P24" s="416">
        <v>186</v>
      </c>
      <c r="Q24" s="417">
        <v>30694.29</v>
      </c>
      <c r="R24" s="418"/>
      <c r="S24" s="418"/>
    </row>
    <row r="25" s="70" customFormat="1" spans="1:19">
      <c r="A25" s="410" t="s">
        <v>232</v>
      </c>
      <c r="B25" s="410" t="s">
        <v>255</v>
      </c>
      <c r="C25" s="410" t="s">
        <v>256</v>
      </c>
      <c r="D25" s="411">
        <v>3807.79</v>
      </c>
      <c r="E25" s="422">
        <v>1536.63</v>
      </c>
      <c r="F25" s="413">
        <f t="shared" si="1"/>
        <v>2271.16</v>
      </c>
      <c r="G25" s="411">
        <v>3807.79</v>
      </c>
      <c r="H25" s="411">
        <v>0</v>
      </c>
      <c r="I25" s="411">
        <v>0</v>
      </c>
      <c r="J25" s="411">
        <v>0</v>
      </c>
      <c r="K25" s="411">
        <v>0</v>
      </c>
      <c r="L25" s="414">
        <v>55</v>
      </c>
      <c r="M25" s="411">
        <v>45</v>
      </c>
      <c r="N25" s="415" t="s">
        <v>205</v>
      </c>
      <c r="O25" s="415" t="s">
        <v>205</v>
      </c>
      <c r="P25" s="416">
        <v>23</v>
      </c>
      <c r="Q25" s="417">
        <v>3807.79</v>
      </c>
      <c r="R25" s="418"/>
      <c r="S25" s="418"/>
    </row>
    <row r="26" s="70" customFormat="1" spans="1:19">
      <c r="A26" s="410" t="s">
        <v>257</v>
      </c>
      <c r="B26" s="410" t="s">
        <v>258</v>
      </c>
      <c r="C26" s="410" t="s">
        <v>259</v>
      </c>
      <c r="D26" s="411">
        <v>12978.76</v>
      </c>
      <c r="E26" s="423">
        <v>29262.27</v>
      </c>
      <c r="F26" s="413">
        <f t="shared" si="1"/>
        <v>-16283.51</v>
      </c>
      <c r="G26" s="411">
        <v>12978.76</v>
      </c>
      <c r="H26" s="411">
        <v>0</v>
      </c>
      <c r="I26" s="411">
        <v>0</v>
      </c>
      <c r="J26" s="411">
        <v>0</v>
      </c>
      <c r="K26" s="411">
        <v>0</v>
      </c>
      <c r="L26" s="414">
        <v>220</v>
      </c>
      <c r="M26" s="411">
        <v>167</v>
      </c>
      <c r="N26" s="415" t="s">
        <v>205</v>
      </c>
      <c r="O26" s="415" t="s">
        <v>205</v>
      </c>
      <c r="P26" s="416">
        <v>79</v>
      </c>
      <c r="Q26" s="417">
        <v>12978.76</v>
      </c>
      <c r="R26" s="418"/>
      <c r="S26" s="418"/>
    </row>
    <row r="27" s="70" customFormat="1" spans="1:19">
      <c r="A27" s="410" t="s">
        <v>252</v>
      </c>
      <c r="B27" s="410" t="s">
        <v>260</v>
      </c>
      <c r="C27" s="410" t="s">
        <v>261</v>
      </c>
      <c r="D27" s="411">
        <v>1396.06</v>
      </c>
      <c r="E27" s="425">
        <v>7618.19</v>
      </c>
      <c r="F27" s="413">
        <f t="shared" si="1"/>
        <v>-6222.13</v>
      </c>
      <c r="G27" s="411">
        <v>1396.06</v>
      </c>
      <c r="H27" s="411">
        <v>0</v>
      </c>
      <c r="I27" s="411">
        <v>0</v>
      </c>
      <c r="J27" s="411">
        <v>0</v>
      </c>
      <c r="K27" s="411">
        <v>0</v>
      </c>
      <c r="L27" s="414">
        <v>21</v>
      </c>
      <c r="M27" s="411">
        <v>62</v>
      </c>
      <c r="N27" s="415" t="s">
        <v>205</v>
      </c>
      <c r="O27" s="415" t="s">
        <v>205</v>
      </c>
      <c r="P27" s="416">
        <v>7</v>
      </c>
      <c r="Q27" s="417">
        <v>1396.06</v>
      </c>
      <c r="R27" s="418"/>
      <c r="S27" s="418"/>
    </row>
    <row r="28" s="70" customFormat="1" spans="1:19">
      <c r="A28" s="410" t="s">
        <v>252</v>
      </c>
      <c r="B28" s="410" t="s">
        <v>262</v>
      </c>
      <c r="C28" s="410" t="s">
        <v>263</v>
      </c>
      <c r="D28" s="411">
        <v>1878.84</v>
      </c>
      <c r="E28" s="412"/>
      <c r="F28" s="413">
        <f t="shared" si="1"/>
        <v>1878.84</v>
      </c>
      <c r="G28" s="411">
        <v>1878.84</v>
      </c>
      <c r="H28" s="411">
        <v>0</v>
      </c>
      <c r="I28" s="411">
        <v>0</v>
      </c>
      <c r="J28" s="411">
        <v>0</v>
      </c>
      <c r="K28" s="411">
        <v>0</v>
      </c>
      <c r="L28" s="414">
        <v>67</v>
      </c>
      <c r="M28" s="411">
        <v>52</v>
      </c>
      <c r="N28" s="415" t="s">
        <v>205</v>
      </c>
      <c r="O28" s="415"/>
      <c r="P28" s="416">
        <v>20</v>
      </c>
      <c r="Q28" s="417"/>
      <c r="R28" s="417">
        <v>1878.84</v>
      </c>
      <c r="S28" s="418"/>
    </row>
    <row r="29" s="70" customFormat="1" spans="1:19">
      <c r="A29" s="410" t="s">
        <v>257</v>
      </c>
      <c r="B29" s="410" t="s">
        <v>264</v>
      </c>
      <c r="C29" s="410" t="s">
        <v>265</v>
      </c>
      <c r="D29" s="411">
        <v>39155.7</v>
      </c>
      <c r="E29" s="425">
        <v>67313.94</v>
      </c>
      <c r="F29" s="413">
        <f t="shared" si="1"/>
        <v>-28158.24</v>
      </c>
      <c r="G29" s="411">
        <v>39155.7</v>
      </c>
      <c r="H29" s="411">
        <v>0</v>
      </c>
      <c r="I29" s="411">
        <v>0</v>
      </c>
      <c r="J29" s="411">
        <v>0</v>
      </c>
      <c r="K29" s="411">
        <v>0</v>
      </c>
      <c r="L29" s="414">
        <v>422</v>
      </c>
      <c r="M29" s="411">
        <v>389</v>
      </c>
      <c r="N29" s="415" t="s">
        <v>205</v>
      </c>
      <c r="O29" s="415" t="s">
        <v>205</v>
      </c>
      <c r="P29" s="416">
        <v>167</v>
      </c>
      <c r="Q29" s="417">
        <v>39155.7</v>
      </c>
      <c r="R29" s="418"/>
      <c r="S29" s="418"/>
    </row>
    <row r="30" s="70" customFormat="1" spans="1:19">
      <c r="A30" s="410" t="s">
        <v>229</v>
      </c>
      <c r="B30" s="410" t="s">
        <v>266</v>
      </c>
      <c r="C30" s="410" t="s">
        <v>267</v>
      </c>
      <c r="D30" s="411">
        <v>7752.82</v>
      </c>
      <c r="E30" s="421">
        <v>18579.3</v>
      </c>
      <c r="F30" s="413">
        <f t="shared" si="1"/>
        <v>-10826.48</v>
      </c>
      <c r="G30" s="411">
        <v>7752.82</v>
      </c>
      <c r="H30" s="411">
        <v>0</v>
      </c>
      <c r="I30" s="411">
        <v>0</v>
      </c>
      <c r="J30" s="411">
        <v>0</v>
      </c>
      <c r="K30" s="411">
        <v>0</v>
      </c>
      <c r="L30" s="414">
        <v>165</v>
      </c>
      <c r="M30" s="411">
        <v>245</v>
      </c>
      <c r="N30" s="415" t="s">
        <v>205</v>
      </c>
      <c r="O30" s="415" t="s">
        <v>205</v>
      </c>
      <c r="P30" s="416">
        <v>84</v>
      </c>
      <c r="Q30" s="417">
        <v>7752.82</v>
      </c>
      <c r="R30" s="418"/>
      <c r="S30" s="418"/>
    </row>
    <row r="31" spans="1:19">
      <c r="A31" s="410" t="s">
        <v>268</v>
      </c>
      <c r="B31" s="410" t="s">
        <v>269</v>
      </c>
      <c r="C31" s="410" t="s">
        <v>270</v>
      </c>
      <c r="D31" s="411">
        <v>5376.27</v>
      </c>
      <c r="E31" s="412">
        <v>10217.85</v>
      </c>
      <c r="F31" s="413">
        <f>D31-E31</f>
        <v>-4841.58</v>
      </c>
      <c r="G31" s="411">
        <v>5376.27</v>
      </c>
      <c r="H31" s="411">
        <v>0</v>
      </c>
      <c r="I31" s="411">
        <v>0</v>
      </c>
      <c r="J31" s="411">
        <v>0</v>
      </c>
      <c r="K31" s="411">
        <v>0</v>
      </c>
      <c r="L31" s="414">
        <v>446</v>
      </c>
      <c r="M31" s="411">
        <v>441</v>
      </c>
      <c r="N31" s="415" t="s">
        <v>205</v>
      </c>
      <c r="O31" s="415" t="s">
        <v>205</v>
      </c>
      <c r="P31" s="416">
        <v>116</v>
      </c>
      <c r="Q31" s="417">
        <v>5376.27</v>
      </c>
      <c r="R31" s="418"/>
      <c r="S31" s="418"/>
    </row>
    <row r="32" s="70" customFormat="1" spans="1:19">
      <c r="A32" s="410" t="s">
        <v>229</v>
      </c>
      <c r="B32" s="410" t="s">
        <v>271</v>
      </c>
      <c r="C32" s="410" t="s">
        <v>272</v>
      </c>
      <c r="D32" s="411">
        <v>3848.27</v>
      </c>
      <c r="E32" s="412"/>
      <c r="F32" s="413">
        <f>D32-E32</f>
        <v>3848.27</v>
      </c>
      <c r="G32" s="411">
        <v>3848.27</v>
      </c>
      <c r="H32" s="411">
        <v>0</v>
      </c>
      <c r="I32" s="411">
        <v>0</v>
      </c>
      <c r="J32" s="411">
        <v>0</v>
      </c>
      <c r="K32" s="411">
        <v>0</v>
      </c>
      <c r="L32" s="414">
        <v>57</v>
      </c>
      <c r="M32" s="411">
        <v>38</v>
      </c>
      <c r="N32" s="415" t="s">
        <v>205</v>
      </c>
      <c r="O32" s="415"/>
      <c r="P32" s="416">
        <v>26</v>
      </c>
      <c r="Q32" s="418"/>
      <c r="R32" s="418"/>
      <c r="S32" s="418">
        <f>D32</f>
        <v>3848.27</v>
      </c>
    </row>
    <row r="33" s="70" customFormat="1" spans="1:19">
      <c r="A33" s="410" t="s">
        <v>273</v>
      </c>
      <c r="B33" s="410" t="s">
        <v>274</v>
      </c>
      <c r="C33" s="410" t="s">
        <v>275</v>
      </c>
      <c r="D33" s="411">
        <v>30332.65</v>
      </c>
      <c r="E33" s="421">
        <v>10704.39</v>
      </c>
      <c r="F33" s="413">
        <f>D33-E33</f>
        <v>19628.26</v>
      </c>
      <c r="G33" s="411">
        <v>30332.65</v>
      </c>
      <c r="H33" s="411">
        <v>0</v>
      </c>
      <c r="I33" s="411">
        <v>0</v>
      </c>
      <c r="J33" s="411">
        <v>0</v>
      </c>
      <c r="K33" s="411">
        <v>0</v>
      </c>
      <c r="L33" s="414">
        <v>420</v>
      </c>
      <c r="M33" s="411">
        <v>327</v>
      </c>
      <c r="N33" s="415" t="s">
        <v>205</v>
      </c>
      <c r="O33" s="415" t="s">
        <v>205</v>
      </c>
      <c r="P33" s="420">
        <v>16</v>
      </c>
      <c r="Q33" s="417">
        <v>30332.65</v>
      </c>
      <c r="R33" s="418"/>
      <c r="S33" s="418"/>
    </row>
    <row r="34" s="70" customFormat="1" spans="1:19">
      <c r="A34" s="410" t="s">
        <v>276</v>
      </c>
      <c r="B34" s="410" t="s">
        <v>277</v>
      </c>
      <c r="C34" s="410" t="s">
        <v>278</v>
      </c>
      <c r="D34" s="411">
        <v>11614.97</v>
      </c>
      <c r="E34" s="421">
        <v>25580.91</v>
      </c>
      <c r="F34" s="413">
        <f>D34-E34</f>
        <v>-13965.94</v>
      </c>
      <c r="G34" s="411">
        <v>11614.97</v>
      </c>
      <c r="H34" s="411">
        <v>0</v>
      </c>
      <c r="I34" s="411">
        <v>0</v>
      </c>
      <c r="J34" s="411">
        <v>0</v>
      </c>
      <c r="K34" s="411">
        <v>0</v>
      </c>
      <c r="L34" s="414">
        <v>1104</v>
      </c>
      <c r="M34" s="411">
        <v>931</v>
      </c>
      <c r="N34" s="415" t="s">
        <v>205</v>
      </c>
      <c r="O34" s="415" t="s">
        <v>205</v>
      </c>
      <c r="P34" s="416">
        <v>187</v>
      </c>
      <c r="Q34" s="417">
        <v>11614.97</v>
      </c>
      <c r="R34" s="418"/>
      <c r="S34" s="418"/>
    </row>
    <row r="35" s="70" customFormat="1" spans="1:19">
      <c r="A35" s="410" t="s">
        <v>273</v>
      </c>
      <c r="B35" s="410" t="s">
        <v>279</v>
      </c>
      <c r="C35" s="410" t="s">
        <v>280</v>
      </c>
      <c r="D35" s="411">
        <v>3466.7</v>
      </c>
      <c r="E35" s="425">
        <v>2800.23</v>
      </c>
      <c r="F35" s="413">
        <f>D35-E35</f>
        <v>666.47</v>
      </c>
      <c r="G35" s="411">
        <v>3466.7</v>
      </c>
      <c r="H35" s="411">
        <v>0</v>
      </c>
      <c r="I35" s="411">
        <v>0</v>
      </c>
      <c r="J35" s="411">
        <v>0</v>
      </c>
      <c r="K35" s="411">
        <v>0</v>
      </c>
      <c r="L35" s="414">
        <v>111</v>
      </c>
      <c r="M35" s="411">
        <v>52</v>
      </c>
      <c r="N35" s="415" t="s">
        <v>205</v>
      </c>
      <c r="O35" s="415" t="s">
        <v>205</v>
      </c>
      <c r="P35" s="416">
        <v>33</v>
      </c>
      <c r="Q35" s="417">
        <v>3466.7</v>
      </c>
      <c r="R35" s="418"/>
      <c r="S35" s="418"/>
    </row>
    <row r="36" s="70" customFormat="1" spans="1:19">
      <c r="A36" s="410" t="s">
        <v>257</v>
      </c>
      <c r="B36" s="410" t="s">
        <v>281</v>
      </c>
      <c r="C36" s="410" t="s">
        <v>282</v>
      </c>
      <c r="D36" s="411">
        <v>676.77</v>
      </c>
      <c r="E36" s="421"/>
      <c r="F36" s="413">
        <f>D36-E36</f>
        <v>676.77</v>
      </c>
      <c r="G36" s="411">
        <v>676.77</v>
      </c>
      <c r="H36" s="411">
        <v>0</v>
      </c>
      <c r="I36" s="411">
        <v>0</v>
      </c>
      <c r="J36" s="411">
        <v>0</v>
      </c>
      <c r="K36" s="411">
        <v>0</v>
      </c>
      <c r="L36" s="414">
        <v>91</v>
      </c>
      <c r="M36" s="411">
        <v>69</v>
      </c>
      <c r="N36" s="415" t="s">
        <v>205</v>
      </c>
      <c r="O36" s="415"/>
      <c r="P36" s="420">
        <v>35</v>
      </c>
      <c r="Q36" s="417">
        <v>676.77</v>
      </c>
      <c r="R36" s="418"/>
      <c r="S36" s="418"/>
    </row>
    <row r="37" s="70" customFormat="1" spans="1:19">
      <c r="A37" s="410" t="s">
        <v>232</v>
      </c>
      <c r="B37" s="410" t="s">
        <v>283</v>
      </c>
      <c r="C37" s="410" t="s">
        <v>284</v>
      </c>
      <c r="D37" s="411">
        <v>5052.06</v>
      </c>
      <c r="E37" s="419"/>
      <c r="F37" s="413">
        <f>D37-E37</f>
        <v>5052.06</v>
      </c>
      <c r="G37" s="411">
        <v>5052.06</v>
      </c>
      <c r="H37" s="411">
        <v>0</v>
      </c>
      <c r="I37" s="411">
        <v>0</v>
      </c>
      <c r="J37" s="411">
        <v>0</v>
      </c>
      <c r="K37" s="411">
        <v>0</v>
      </c>
      <c r="L37" s="414">
        <v>89</v>
      </c>
      <c r="M37" s="411">
        <v>68</v>
      </c>
      <c r="N37" s="415" t="s">
        <v>205</v>
      </c>
      <c r="O37" s="415"/>
      <c r="P37" s="420">
        <v>29</v>
      </c>
      <c r="Q37" s="417">
        <v>5052.06</v>
      </c>
      <c r="R37" s="418"/>
      <c r="S37" s="418"/>
    </row>
    <row r="38" s="70" customFormat="1" spans="1:19">
      <c r="A38" s="410" t="s">
        <v>229</v>
      </c>
      <c r="B38" s="410" t="s">
        <v>285</v>
      </c>
      <c r="C38" s="410" t="s">
        <v>286</v>
      </c>
      <c r="D38" s="411">
        <v>2334.78</v>
      </c>
      <c r="E38" s="419"/>
      <c r="F38" s="413">
        <f>D38-E38</f>
        <v>2334.78</v>
      </c>
      <c r="G38" s="411">
        <v>2334.78</v>
      </c>
      <c r="H38" s="411">
        <v>0</v>
      </c>
      <c r="I38" s="411">
        <v>0</v>
      </c>
      <c r="J38" s="411">
        <v>0</v>
      </c>
      <c r="K38" s="411">
        <v>0</v>
      </c>
      <c r="L38" s="414">
        <v>42</v>
      </c>
      <c r="M38" s="411">
        <v>26</v>
      </c>
      <c r="N38" s="415" t="s">
        <v>205</v>
      </c>
      <c r="O38" s="415"/>
      <c r="P38" s="416">
        <v>16</v>
      </c>
      <c r="Q38" s="417">
        <v>2334.78</v>
      </c>
      <c r="R38" s="418"/>
      <c r="S38" s="418"/>
    </row>
    <row r="39" s="70" customFormat="1" spans="1:19">
      <c r="A39" s="410" t="s">
        <v>224</v>
      </c>
      <c r="B39" s="410" t="s">
        <v>287</v>
      </c>
      <c r="C39" s="410" t="s">
        <v>288</v>
      </c>
      <c r="D39" s="411">
        <v>3531.75</v>
      </c>
      <c r="E39" s="419"/>
      <c r="F39" s="413">
        <f>D39-E39</f>
        <v>3531.75</v>
      </c>
      <c r="G39" s="411">
        <v>3531.75</v>
      </c>
      <c r="H39" s="411">
        <v>0</v>
      </c>
      <c r="I39" s="411">
        <v>0</v>
      </c>
      <c r="J39" s="411">
        <v>0</v>
      </c>
      <c r="K39" s="411">
        <v>0</v>
      </c>
      <c r="L39" s="414">
        <v>70</v>
      </c>
      <c r="M39" s="411">
        <v>56</v>
      </c>
      <c r="N39" s="415" t="s">
        <v>205</v>
      </c>
      <c r="O39" s="415"/>
      <c r="P39" s="416">
        <v>22</v>
      </c>
      <c r="Q39" s="417">
        <v>3531.75</v>
      </c>
      <c r="R39" s="418"/>
      <c r="S39" s="418"/>
    </row>
    <row r="40" s="70" customFormat="1" spans="1:19">
      <c r="A40" s="410" t="s">
        <v>224</v>
      </c>
      <c r="B40" s="410" t="s">
        <v>289</v>
      </c>
      <c r="C40" s="410" t="s">
        <v>290</v>
      </c>
      <c r="D40" s="411">
        <v>10.2</v>
      </c>
      <c r="E40" s="419"/>
      <c r="F40" s="413">
        <f>D40-E40</f>
        <v>10.2</v>
      </c>
      <c r="G40" s="411">
        <v>10.2</v>
      </c>
      <c r="H40" s="411">
        <v>0</v>
      </c>
      <c r="I40" s="411">
        <v>0</v>
      </c>
      <c r="J40" s="411">
        <v>0</v>
      </c>
      <c r="K40" s="411">
        <v>0</v>
      </c>
      <c r="L40" s="414">
        <v>19</v>
      </c>
      <c r="M40" s="411">
        <v>17</v>
      </c>
      <c r="N40" s="415" t="s">
        <v>205</v>
      </c>
      <c r="O40" s="415"/>
      <c r="P40" s="420">
        <v>14</v>
      </c>
      <c r="Q40" s="417">
        <v>10.2</v>
      </c>
      <c r="R40" s="418"/>
      <c r="S40" s="418"/>
    </row>
    <row r="41" s="70" customFormat="1" spans="1:19">
      <c r="A41" s="410" t="s">
        <v>268</v>
      </c>
      <c r="B41" s="410" t="s">
        <v>291</v>
      </c>
      <c r="C41" s="410" t="s">
        <v>292</v>
      </c>
      <c r="D41" s="411">
        <v>4557.87</v>
      </c>
      <c r="E41" s="419"/>
      <c r="F41" s="413">
        <f>D41-E41</f>
        <v>4557.87</v>
      </c>
      <c r="G41" s="411">
        <v>4557.87</v>
      </c>
      <c r="H41" s="411">
        <v>0</v>
      </c>
      <c r="I41" s="411">
        <v>0</v>
      </c>
      <c r="J41" s="411">
        <v>0</v>
      </c>
      <c r="K41" s="411">
        <v>0</v>
      </c>
      <c r="L41" s="414">
        <v>67</v>
      </c>
      <c r="M41" s="411">
        <v>74</v>
      </c>
      <c r="N41" s="415" t="s">
        <v>205</v>
      </c>
      <c r="O41" s="415"/>
      <c r="P41" s="416">
        <v>31</v>
      </c>
      <c r="Q41" s="417">
        <v>4557.87</v>
      </c>
      <c r="R41" s="418"/>
      <c r="S41" s="418"/>
    </row>
    <row r="42" s="70" customFormat="1" spans="1:19">
      <c r="A42" s="410" t="s">
        <v>268</v>
      </c>
      <c r="B42" s="410" t="s">
        <v>293</v>
      </c>
      <c r="C42" s="410" t="s">
        <v>294</v>
      </c>
      <c r="D42" s="411">
        <v>2525.52</v>
      </c>
      <c r="E42" s="419"/>
      <c r="F42" s="413">
        <f>D42-E42</f>
        <v>2525.52</v>
      </c>
      <c r="G42" s="411">
        <v>2525.52</v>
      </c>
      <c r="H42" s="411">
        <v>0</v>
      </c>
      <c r="I42" s="411">
        <v>0</v>
      </c>
      <c r="J42" s="411">
        <v>0</v>
      </c>
      <c r="K42" s="411">
        <v>0</v>
      </c>
      <c r="L42" s="414">
        <v>11</v>
      </c>
      <c r="M42" s="411">
        <v>8</v>
      </c>
      <c r="N42" s="415" t="s">
        <v>205</v>
      </c>
      <c r="O42" s="415"/>
      <c r="P42" s="416">
        <v>15</v>
      </c>
      <c r="Q42" s="417">
        <v>2525.52</v>
      </c>
      <c r="R42" s="418"/>
      <c r="S42" s="418"/>
    </row>
    <row r="43" s="70" customFormat="1" spans="1:19">
      <c r="A43" s="410" t="s">
        <v>232</v>
      </c>
      <c r="B43" s="410" t="s">
        <v>295</v>
      </c>
      <c r="C43" s="410" t="s">
        <v>296</v>
      </c>
      <c r="D43" s="411">
        <v>4833.13</v>
      </c>
      <c r="E43" s="419">
        <v>165.86</v>
      </c>
      <c r="F43" s="413">
        <f>D43-E43</f>
        <v>4667.27</v>
      </c>
      <c r="G43" s="411">
        <v>4833.13</v>
      </c>
      <c r="H43" s="411">
        <v>0</v>
      </c>
      <c r="I43" s="411">
        <v>0</v>
      </c>
      <c r="J43" s="411">
        <v>0</v>
      </c>
      <c r="K43" s="411">
        <v>0</v>
      </c>
      <c r="L43" s="414">
        <v>90</v>
      </c>
      <c r="M43" s="411">
        <v>51</v>
      </c>
      <c r="N43" s="415" t="s">
        <v>205</v>
      </c>
      <c r="O43" s="415" t="s">
        <v>205</v>
      </c>
      <c r="P43" s="416">
        <v>50</v>
      </c>
      <c r="Q43" s="417">
        <v>4833.13</v>
      </c>
      <c r="R43" s="418"/>
      <c r="S43" s="418"/>
    </row>
    <row r="44" s="70" customFormat="1" spans="1:19">
      <c r="A44" s="410" t="s">
        <v>224</v>
      </c>
      <c r="B44" s="410" t="s">
        <v>297</v>
      </c>
      <c r="C44" s="410" t="s">
        <v>298</v>
      </c>
      <c r="D44" s="411">
        <v>1024.85</v>
      </c>
      <c r="E44" s="412"/>
      <c r="F44" s="413">
        <f>D44-E44</f>
        <v>1024.85</v>
      </c>
      <c r="G44" s="411">
        <v>1024.85</v>
      </c>
      <c r="H44" s="411">
        <v>0</v>
      </c>
      <c r="I44" s="411">
        <v>0</v>
      </c>
      <c r="J44" s="411">
        <v>0</v>
      </c>
      <c r="K44" s="411">
        <v>0</v>
      </c>
      <c r="L44" s="414">
        <v>7</v>
      </c>
      <c r="M44" s="411">
        <v>7</v>
      </c>
      <c r="N44" s="415" t="s">
        <v>205</v>
      </c>
      <c r="O44" s="415"/>
      <c r="P44" s="424">
        <v>6</v>
      </c>
      <c r="Q44" s="418"/>
      <c r="R44" s="417">
        <v>1024.85</v>
      </c>
      <c r="S44" s="418"/>
    </row>
    <row r="45" s="70" customFormat="1" spans="1:19">
      <c r="A45" s="410" t="s">
        <v>268</v>
      </c>
      <c r="B45" s="410" t="s">
        <v>299</v>
      </c>
      <c r="C45" s="410" t="s">
        <v>300</v>
      </c>
      <c r="D45" s="411">
        <v>3215.04</v>
      </c>
      <c r="E45" s="421"/>
      <c r="F45" s="413">
        <f>D45-E45</f>
        <v>3215.04</v>
      </c>
      <c r="G45" s="411">
        <v>3215.04</v>
      </c>
      <c r="H45" s="411">
        <v>0</v>
      </c>
      <c r="I45" s="411">
        <v>0</v>
      </c>
      <c r="J45" s="411">
        <v>0</v>
      </c>
      <c r="K45" s="411">
        <v>0</v>
      </c>
      <c r="L45" s="414">
        <v>92</v>
      </c>
      <c r="M45" s="411">
        <v>108</v>
      </c>
      <c r="N45" s="415" t="s">
        <v>205</v>
      </c>
      <c r="O45" s="415"/>
      <c r="P45" s="416">
        <v>27</v>
      </c>
      <c r="Q45" s="417">
        <v>3215.04</v>
      </c>
      <c r="R45" s="418"/>
      <c r="S45" s="418"/>
    </row>
    <row r="46" s="70" customFormat="1" spans="1:19">
      <c r="A46" s="410" t="s">
        <v>268</v>
      </c>
      <c r="B46" s="410" t="s">
        <v>301</v>
      </c>
      <c r="C46" s="410" t="s">
        <v>302</v>
      </c>
      <c r="D46" s="411">
        <v>2266.56</v>
      </c>
      <c r="E46" s="423">
        <v>2107.12</v>
      </c>
      <c r="F46" s="413">
        <f>D46-E46</f>
        <v>159.44</v>
      </c>
      <c r="G46" s="411">
        <v>2266.56</v>
      </c>
      <c r="H46" s="411">
        <v>0</v>
      </c>
      <c r="I46" s="411">
        <v>0</v>
      </c>
      <c r="J46" s="411">
        <v>0</v>
      </c>
      <c r="K46" s="411">
        <v>0</v>
      </c>
      <c r="L46" s="414">
        <v>55</v>
      </c>
      <c r="M46" s="411">
        <v>55</v>
      </c>
      <c r="N46" s="415" t="s">
        <v>205</v>
      </c>
      <c r="O46" s="415" t="s">
        <v>205</v>
      </c>
      <c r="P46" s="416">
        <v>13</v>
      </c>
      <c r="Q46" s="417">
        <v>2266.56</v>
      </c>
      <c r="R46" s="418"/>
      <c r="S46" s="418"/>
    </row>
    <row r="47" s="70" customFormat="1" spans="1:19">
      <c r="A47" s="410" t="s">
        <v>268</v>
      </c>
      <c r="B47" s="410" t="s">
        <v>303</v>
      </c>
      <c r="C47" s="410" t="s">
        <v>304</v>
      </c>
      <c r="D47" s="411">
        <v>7903.59</v>
      </c>
      <c r="E47" s="421">
        <v>8905.62</v>
      </c>
      <c r="F47" s="413">
        <f>D47-E47</f>
        <v>-1002.03</v>
      </c>
      <c r="G47" s="411">
        <v>7903.59</v>
      </c>
      <c r="H47" s="411">
        <v>0</v>
      </c>
      <c r="I47" s="411">
        <v>0</v>
      </c>
      <c r="J47" s="411">
        <v>0</v>
      </c>
      <c r="K47" s="411">
        <v>0</v>
      </c>
      <c r="L47" s="414">
        <v>98</v>
      </c>
      <c r="M47" s="411">
        <v>113</v>
      </c>
      <c r="N47" s="415" t="s">
        <v>205</v>
      </c>
      <c r="O47" s="415" t="s">
        <v>205</v>
      </c>
      <c r="P47" s="416">
        <v>50</v>
      </c>
      <c r="Q47" s="417">
        <v>7903.59</v>
      </c>
      <c r="R47" s="418"/>
      <c r="S47" s="418"/>
    </row>
    <row r="48" s="70" customFormat="1" spans="1:19">
      <c r="A48" s="410" t="s">
        <v>305</v>
      </c>
      <c r="B48" s="410" t="s">
        <v>306</v>
      </c>
      <c r="C48" s="410" t="s">
        <v>307</v>
      </c>
      <c r="D48" s="411">
        <v>6683.04</v>
      </c>
      <c r="E48" s="419"/>
      <c r="F48" s="413">
        <f>D48-E48</f>
        <v>6683.04</v>
      </c>
      <c r="G48" s="411">
        <v>6683.04</v>
      </c>
      <c r="H48" s="411">
        <v>0</v>
      </c>
      <c r="I48" s="411">
        <v>0</v>
      </c>
      <c r="J48" s="411">
        <v>0</v>
      </c>
      <c r="K48" s="411">
        <v>0</v>
      </c>
      <c r="L48" s="414">
        <v>156</v>
      </c>
      <c r="M48" s="411">
        <v>44</v>
      </c>
      <c r="N48" s="415" t="s">
        <v>205</v>
      </c>
      <c r="O48" s="415"/>
      <c r="P48" s="420">
        <v>35</v>
      </c>
      <c r="Q48" s="417">
        <v>6683.04</v>
      </c>
      <c r="R48" s="418"/>
      <c r="S48" s="418"/>
    </row>
    <row r="49" s="70" customFormat="1" spans="1:19">
      <c r="A49" s="410" t="s">
        <v>257</v>
      </c>
      <c r="B49" s="410" t="s">
        <v>308</v>
      </c>
      <c r="C49" s="410" t="s">
        <v>309</v>
      </c>
      <c r="D49" s="411">
        <v>4721.99</v>
      </c>
      <c r="E49" s="422">
        <v>7293.4</v>
      </c>
      <c r="F49" s="413">
        <f>D49-E49</f>
        <v>-2571.41</v>
      </c>
      <c r="G49" s="411">
        <v>4721.99</v>
      </c>
      <c r="H49" s="411">
        <v>0</v>
      </c>
      <c r="I49" s="411">
        <v>0</v>
      </c>
      <c r="J49" s="411">
        <v>0</v>
      </c>
      <c r="K49" s="411">
        <v>0</v>
      </c>
      <c r="L49" s="414">
        <v>110</v>
      </c>
      <c r="M49" s="411">
        <v>67</v>
      </c>
      <c r="N49" s="415" t="s">
        <v>205</v>
      </c>
      <c r="O49" s="415" t="s">
        <v>205</v>
      </c>
      <c r="P49" s="420">
        <v>26</v>
      </c>
      <c r="Q49" s="417">
        <v>4721.99</v>
      </c>
      <c r="R49" s="418"/>
      <c r="S49" s="418"/>
    </row>
    <row r="50" s="70" customFormat="1" spans="1:19">
      <c r="A50" s="410" t="s">
        <v>257</v>
      </c>
      <c r="B50" s="410" t="s">
        <v>310</v>
      </c>
      <c r="C50" s="410" t="s">
        <v>311</v>
      </c>
      <c r="D50" s="411">
        <v>5262.69</v>
      </c>
      <c r="E50" s="422"/>
      <c r="F50" s="413">
        <f>D50-E50</f>
        <v>5262.69</v>
      </c>
      <c r="G50" s="411">
        <v>5262.69</v>
      </c>
      <c r="H50" s="411">
        <v>0</v>
      </c>
      <c r="I50" s="411">
        <v>0</v>
      </c>
      <c r="J50" s="411">
        <v>0</v>
      </c>
      <c r="K50" s="411">
        <v>0</v>
      </c>
      <c r="L50" s="414">
        <v>33</v>
      </c>
      <c r="M50" s="411">
        <v>28</v>
      </c>
      <c r="N50" s="415" t="s">
        <v>205</v>
      </c>
      <c r="O50" s="415"/>
      <c r="P50" s="420">
        <v>31</v>
      </c>
      <c r="Q50" s="417">
        <v>5262.69</v>
      </c>
      <c r="R50" s="418"/>
      <c r="S50" s="418"/>
    </row>
    <row r="51" s="70" customFormat="1" spans="1:19">
      <c r="A51" s="410" t="s">
        <v>257</v>
      </c>
      <c r="B51" s="410" t="s">
        <v>312</v>
      </c>
      <c r="C51" s="410" t="s">
        <v>313</v>
      </c>
      <c r="D51" s="411">
        <v>2847.92</v>
      </c>
      <c r="E51" s="422">
        <v>2592.08</v>
      </c>
      <c r="F51" s="413">
        <f>D51-E51</f>
        <v>255.84</v>
      </c>
      <c r="G51" s="411">
        <v>2847.92</v>
      </c>
      <c r="H51" s="411">
        <v>0</v>
      </c>
      <c r="I51" s="411">
        <v>0</v>
      </c>
      <c r="J51" s="411">
        <v>0</v>
      </c>
      <c r="K51" s="411">
        <v>0</v>
      </c>
      <c r="L51" s="414">
        <v>38</v>
      </c>
      <c r="M51" s="411">
        <v>25</v>
      </c>
      <c r="N51" s="415" t="s">
        <v>205</v>
      </c>
      <c r="O51" s="415" t="s">
        <v>205</v>
      </c>
      <c r="P51" s="420">
        <v>12</v>
      </c>
      <c r="Q51" s="417">
        <v>2847.92</v>
      </c>
      <c r="R51" s="418"/>
      <c r="S51" s="418"/>
    </row>
    <row r="52" s="70" customFormat="1" spans="1:19">
      <c r="A52" s="410" t="s">
        <v>232</v>
      </c>
      <c r="B52" s="410" t="s">
        <v>314</v>
      </c>
      <c r="C52" s="410" t="s">
        <v>315</v>
      </c>
      <c r="D52" s="411">
        <v>4700.53</v>
      </c>
      <c r="E52" s="422">
        <v>7464.36</v>
      </c>
      <c r="F52" s="413">
        <f>D52-E52</f>
        <v>-2763.83</v>
      </c>
      <c r="G52" s="411">
        <v>4700.53</v>
      </c>
      <c r="H52" s="411">
        <v>0</v>
      </c>
      <c r="I52" s="411">
        <v>0</v>
      </c>
      <c r="J52" s="411">
        <v>0</v>
      </c>
      <c r="K52" s="411">
        <v>0</v>
      </c>
      <c r="L52" s="414">
        <v>61</v>
      </c>
      <c r="M52" s="411">
        <v>69</v>
      </c>
      <c r="N52" s="415" t="s">
        <v>205</v>
      </c>
      <c r="O52" s="415" t="s">
        <v>205</v>
      </c>
      <c r="P52" s="420">
        <v>34</v>
      </c>
      <c r="Q52" s="417">
        <v>4700.53</v>
      </c>
      <c r="R52" s="418"/>
      <c r="S52" s="418"/>
    </row>
    <row r="53" s="70" customFormat="1" spans="1:19">
      <c r="A53" s="410" t="s">
        <v>252</v>
      </c>
      <c r="B53" s="410" t="s">
        <v>316</v>
      </c>
      <c r="C53" s="410" t="s">
        <v>317</v>
      </c>
      <c r="D53" s="411">
        <v>1401.48</v>
      </c>
      <c r="E53" s="422"/>
      <c r="F53" s="413">
        <f>D53-E53</f>
        <v>1401.48</v>
      </c>
      <c r="G53" s="411">
        <v>1401.48</v>
      </c>
      <c r="H53" s="411">
        <v>0</v>
      </c>
      <c r="I53" s="411">
        <v>0</v>
      </c>
      <c r="J53" s="411">
        <v>0</v>
      </c>
      <c r="K53" s="411">
        <v>0</v>
      </c>
      <c r="L53" s="414">
        <v>144</v>
      </c>
      <c r="M53" s="411">
        <v>151</v>
      </c>
      <c r="N53" s="415" t="s">
        <v>205</v>
      </c>
      <c r="O53" s="415"/>
      <c r="P53" s="424">
        <v>54</v>
      </c>
      <c r="Q53" s="418"/>
      <c r="R53" s="417">
        <v>1401.48</v>
      </c>
      <c r="S53" s="418"/>
    </row>
    <row r="54" s="70" customFormat="1" spans="1:19">
      <c r="A54" s="410" t="s">
        <v>257</v>
      </c>
      <c r="B54" s="410" t="s">
        <v>318</v>
      </c>
      <c r="C54" s="410" t="s">
        <v>319</v>
      </c>
      <c r="D54" s="411">
        <v>1134.28</v>
      </c>
      <c r="E54" s="422">
        <v>614.04</v>
      </c>
      <c r="F54" s="413">
        <f>D54-E54</f>
        <v>520.24</v>
      </c>
      <c r="G54" s="411">
        <v>1134.28</v>
      </c>
      <c r="H54" s="411">
        <v>0</v>
      </c>
      <c r="I54" s="411">
        <v>0</v>
      </c>
      <c r="J54" s="411">
        <v>0</v>
      </c>
      <c r="K54" s="411">
        <v>0</v>
      </c>
      <c r="L54" s="414">
        <v>17</v>
      </c>
      <c r="M54" s="411">
        <v>18</v>
      </c>
      <c r="N54" s="415" t="s">
        <v>205</v>
      </c>
      <c r="O54" s="415" t="s">
        <v>205</v>
      </c>
      <c r="P54" s="424">
        <v>19</v>
      </c>
      <c r="Q54" s="418"/>
      <c r="R54" s="417">
        <v>1134.28</v>
      </c>
      <c r="S54" s="418"/>
    </row>
    <row r="55" s="70" customFormat="1" spans="1:19">
      <c r="A55" s="410" t="s">
        <v>268</v>
      </c>
      <c r="B55" s="410" t="s">
        <v>320</v>
      </c>
      <c r="C55" s="410" t="s">
        <v>321</v>
      </c>
      <c r="D55" s="411">
        <v>8141.01</v>
      </c>
      <c r="E55" s="422">
        <v>41975.49</v>
      </c>
      <c r="F55" s="413">
        <f>D55-E55</f>
        <v>-33834.48</v>
      </c>
      <c r="G55" s="411">
        <v>8141.01</v>
      </c>
      <c r="H55" s="411">
        <v>0</v>
      </c>
      <c r="I55" s="411">
        <v>0</v>
      </c>
      <c r="J55" s="411">
        <v>0</v>
      </c>
      <c r="K55" s="411">
        <v>0</v>
      </c>
      <c r="L55" s="414">
        <v>180</v>
      </c>
      <c r="M55" s="411">
        <v>142</v>
      </c>
      <c r="N55" s="415" t="s">
        <v>205</v>
      </c>
      <c r="O55" s="415" t="s">
        <v>205</v>
      </c>
      <c r="P55" s="420">
        <v>42</v>
      </c>
      <c r="Q55" s="417">
        <v>8141.01</v>
      </c>
      <c r="R55" s="418"/>
      <c r="S55" s="418"/>
    </row>
    <row r="56" s="70" customFormat="1" spans="1:19">
      <c r="A56" s="410" t="s">
        <v>224</v>
      </c>
      <c r="B56" s="410" t="s">
        <v>322</v>
      </c>
      <c r="C56" s="410" t="s">
        <v>323</v>
      </c>
      <c r="D56" s="411">
        <v>22766.28</v>
      </c>
      <c r="E56" s="422">
        <v>26158.88</v>
      </c>
      <c r="F56" s="413">
        <f>D56-E56</f>
        <v>-3392.6</v>
      </c>
      <c r="G56" s="411">
        <v>22766.28</v>
      </c>
      <c r="H56" s="411">
        <v>0</v>
      </c>
      <c r="I56" s="411">
        <v>0</v>
      </c>
      <c r="J56" s="411">
        <v>0</v>
      </c>
      <c r="K56" s="411">
        <v>0</v>
      </c>
      <c r="L56" s="414">
        <v>371</v>
      </c>
      <c r="M56" s="411">
        <v>386</v>
      </c>
      <c r="N56" s="415" t="s">
        <v>205</v>
      </c>
      <c r="O56" s="415" t="s">
        <v>205</v>
      </c>
      <c r="P56" s="420">
        <v>216</v>
      </c>
      <c r="Q56" s="417">
        <v>22766.28</v>
      </c>
      <c r="R56" s="418"/>
      <c r="S56" s="418"/>
    </row>
    <row r="57" s="70" customFormat="1" spans="1:19">
      <c r="A57" s="410" t="s">
        <v>232</v>
      </c>
      <c r="B57" s="410" t="s">
        <v>324</v>
      </c>
      <c r="C57" s="410" t="s">
        <v>325</v>
      </c>
      <c r="D57" s="411">
        <v>473.28</v>
      </c>
      <c r="E57" s="422"/>
      <c r="F57" s="413">
        <f>D57-E57</f>
        <v>473.28</v>
      </c>
      <c r="G57" s="411">
        <v>473.28</v>
      </c>
      <c r="H57" s="411">
        <v>0</v>
      </c>
      <c r="I57" s="411">
        <v>0</v>
      </c>
      <c r="J57" s="411">
        <v>0</v>
      </c>
      <c r="K57" s="411">
        <v>0</v>
      </c>
      <c r="L57" s="414">
        <v>35</v>
      </c>
      <c r="M57" s="411">
        <v>24</v>
      </c>
      <c r="N57" s="415" t="s">
        <v>205</v>
      </c>
      <c r="O57" s="415"/>
      <c r="P57" s="420">
        <v>17</v>
      </c>
      <c r="Q57" s="417">
        <v>473.28</v>
      </c>
      <c r="R57" s="418"/>
      <c r="S57" s="418"/>
    </row>
    <row r="58" s="70" customFormat="1" spans="1:19">
      <c r="A58" s="410" t="s">
        <v>273</v>
      </c>
      <c r="B58" s="410" t="s">
        <v>326</v>
      </c>
      <c r="C58" s="410" t="s">
        <v>327</v>
      </c>
      <c r="D58" s="411">
        <v>2386.29</v>
      </c>
      <c r="E58" s="422"/>
      <c r="F58" s="413">
        <f>D58-E58</f>
        <v>2386.29</v>
      </c>
      <c r="G58" s="411">
        <v>2386.29</v>
      </c>
      <c r="H58" s="411">
        <v>0</v>
      </c>
      <c r="I58" s="411">
        <v>0</v>
      </c>
      <c r="J58" s="411">
        <v>0</v>
      </c>
      <c r="K58" s="411">
        <v>0</v>
      </c>
      <c r="L58" s="414">
        <v>129</v>
      </c>
      <c r="M58" s="411">
        <v>79</v>
      </c>
      <c r="N58" s="415" t="s">
        <v>205</v>
      </c>
      <c r="O58" s="415"/>
      <c r="P58" s="424">
        <v>49</v>
      </c>
      <c r="Q58" s="417">
        <v>2386.29</v>
      </c>
      <c r="R58" s="418"/>
      <c r="S58" s="418"/>
    </row>
    <row r="59" s="70" customFormat="1" spans="1:19">
      <c r="A59" s="410" t="s">
        <v>232</v>
      </c>
      <c r="B59" s="410" t="s">
        <v>328</v>
      </c>
      <c r="C59" s="410" t="s">
        <v>329</v>
      </c>
      <c r="D59" s="411">
        <v>6260.76</v>
      </c>
      <c r="E59" s="422"/>
      <c r="F59" s="413">
        <f>D59-E59</f>
        <v>6260.76</v>
      </c>
      <c r="G59" s="411">
        <v>6260.76</v>
      </c>
      <c r="H59" s="411">
        <v>0</v>
      </c>
      <c r="I59" s="411">
        <v>0</v>
      </c>
      <c r="J59" s="411">
        <v>0</v>
      </c>
      <c r="K59" s="411">
        <v>0</v>
      </c>
      <c r="L59" s="414">
        <v>199</v>
      </c>
      <c r="M59" s="411">
        <v>137</v>
      </c>
      <c r="N59" s="415" t="s">
        <v>205</v>
      </c>
      <c r="O59" s="415"/>
      <c r="P59" s="420">
        <v>79</v>
      </c>
      <c r="Q59" s="417">
        <v>6260.76</v>
      </c>
      <c r="R59" s="418"/>
      <c r="S59" s="418"/>
    </row>
    <row r="60" s="70" customFormat="1" spans="1:19">
      <c r="A60" s="410" t="s">
        <v>330</v>
      </c>
      <c r="B60" s="410" t="s">
        <v>331</v>
      </c>
      <c r="C60" s="410" t="s">
        <v>332</v>
      </c>
      <c r="D60" s="411">
        <v>1510.11</v>
      </c>
      <c r="E60" s="422"/>
      <c r="F60" s="413">
        <f>D60-E60</f>
        <v>1510.11</v>
      </c>
      <c r="G60" s="411">
        <v>1510.11</v>
      </c>
      <c r="H60" s="411">
        <v>0</v>
      </c>
      <c r="I60" s="411">
        <v>0</v>
      </c>
      <c r="J60" s="411">
        <v>0</v>
      </c>
      <c r="K60" s="411">
        <v>0</v>
      </c>
      <c r="L60" s="414">
        <v>157</v>
      </c>
      <c r="M60" s="411">
        <v>113</v>
      </c>
      <c r="N60" s="415" t="s">
        <v>205</v>
      </c>
      <c r="O60" s="415"/>
      <c r="P60" s="420">
        <v>65</v>
      </c>
      <c r="Q60" s="417">
        <v>1510.11</v>
      </c>
      <c r="R60" s="418"/>
      <c r="S60" s="418"/>
    </row>
    <row r="61" s="70" customFormat="1" spans="1:19">
      <c r="A61" s="410" t="s">
        <v>268</v>
      </c>
      <c r="B61" s="410" t="s">
        <v>333</v>
      </c>
      <c r="C61" s="410" t="s">
        <v>334</v>
      </c>
      <c r="D61" s="411">
        <v>2222.54</v>
      </c>
      <c r="E61" s="422">
        <v>3841.96</v>
      </c>
      <c r="F61" s="413">
        <f>D61-E61</f>
        <v>-1619.42</v>
      </c>
      <c r="G61" s="411">
        <v>2222.54</v>
      </c>
      <c r="H61" s="411">
        <v>0</v>
      </c>
      <c r="I61" s="411">
        <v>0</v>
      </c>
      <c r="J61" s="411">
        <v>0</v>
      </c>
      <c r="K61" s="411">
        <v>0</v>
      </c>
      <c r="L61" s="414">
        <v>35</v>
      </c>
      <c r="M61" s="411">
        <v>34</v>
      </c>
      <c r="N61" s="415" t="s">
        <v>205</v>
      </c>
      <c r="O61" s="415" t="s">
        <v>205</v>
      </c>
      <c r="P61" s="420">
        <v>24</v>
      </c>
      <c r="Q61" s="417">
        <v>2222.54</v>
      </c>
      <c r="R61" s="418"/>
      <c r="S61" s="418"/>
    </row>
    <row r="62" s="70" customFormat="1" spans="1:19">
      <c r="A62" s="410" t="s">
        <v>224</v>
      </c>
      <c r="B62" s="410" t="s">
        <v>335</v>
      </c>
      <c r="C62" s="410" t="s">
        <v>336</v>
      </c>
      <c r="D62" s="411">
        <v>352.41</v>
      </c>
      <c r="E62" s="422"/>
      <c r="F62" s="413">
        <f>D62-E62</f>
        <v>352.41</v>
      </c>
      <c r="G62" s="411">
        <v>352.41</v>
      </c>
      <c r="H62" s="411">
        <v>0</v>
      </c>
      <c r="I62" s="411">
        <v>0</v>
      </c>
      <c r="J62" s="411">
        <v>0</v>
      </c>
      <c r="K62" s="411">
        <v>0</v>
      </c>
      <c r="L62" s="414">
        <v>52</v>
      </c>
      <c r="M62" s="411">
        <v>28</v>
      </c>
      <c r="N62" s="415" t="s">
        <v>205</v>
      </c>
      <c r="O62" s="415"/>
      <c r="P62" s="420">
        <v>11</v>
      </c>
      <c r="Q62" s="417">
        <v>352.41</v>
      </c>
      <c r="R62" s="418"/>
      <c r="S62" s="418"/>
    </row>
    <row r="63" s="70" customFormat="1" spans="1:19">
      <c r="A63" s="410" t="s">
        <v>232</v>
      </c>
      <c r="B63" s="410" t="s">
        <v>337</v>
      </c>
      <c r="C63" s="410" t="s">
        <v>338</v>
      </c>
      <c r="D63" s="411">
        <v>957.78</v>
      </c>
      <c r="E63" s="422"/>
      <c r="F63" s="413">
        <f>D63-E63</f>
        <v>957.78</v>
      </c>
      <c r="G63" s="411">
        <v>957.78</v>
      </c>
      <c r="H63" s="411">
        <v>0</v>
      </c>
      <c r="I63" s="411">
        <v>0</v>
      </c>
      <c r="J63" s="411">
        <v>0</v>
      </c>
      <c r="K63" s="411">
        <v>0</v>
      </c>
      <c r="L63" s="414">
        <v>57</v>
      </c>
      <c r="M63" s="411">
        <v>49</v>
      </c>
      <c r="N63" s="415" t="s">
        <v>205</v>
      </c>
      <c r="O63" s="415"/>
      <c r="P63" s="424">
        <v>18</v>
      </c>
      <c r="Q63" s="417">
        <v>957.78</v>
      </c>
      <c r="R63" s="418"/>
      <c r="S63" s="418"/>
    </row>
    <row r="64" s="70" customFormat="1" spans="1:19">
      <c r="A64" s="410" t="s">
        <v>276</v>
      </c>
      <c r="B64" s="410" t="s">
        <v>339</v>
      </c>
      <c r="C64" s="410" t="s">
        <v>340</v>
      </c>
      <c r="D64" s="411">
        <v>56740.11</v>
      </c>
      <c r="E64" s="422">
        <v>77446.56</v>
      </c>
      <c r="F64" s="413">
        <f>D64-E64</f>
        <v>-20706.45</v>
      </c>
      <c r="G64" s="411">
        <v>56740.11</v>
      </c>
      <c r="H64" s="411">
        <v>0</v>
      </c>
      <c r="I64" s="411">
        <v>0</v>
      </c>
      <c r="J64" s="411">
        <v>0</v>
      </c>
      <c r="K64" s="411">
        <v>0</v>
      </c>
      <c r="L64" s="414">
        <v>701</v>
      </c>
      <c r="M64" s="411">
        <v>882</v>
      </c>
      <c r="N64" s="415" t="s">
        <v>205</v>
      </c>
      <c r="O64" s="415" t="s">
        <v>205</v>
      </c>
      <c r="P64" s="420">
        <v>364</v>
      </c>
      <c r="Q64" s="417">
        <v>56740.11</v>
      </c>
      <c r="R64" s="418"/>
      <c r="S64" s="418"/>
    </row>
    <row r="65" s="70" customFormat="1" spans="1:19">
      <c r="A65" s="410" t="s">
        <v>224</v>
      </c>
      <c r="B65" s="410" t="s">
        <v>341</v>
      </c>
      <c r="C65" s="410" t="s">
        <v>342</v>
      </c>
      <c r="D65" s="411">
        <v>1000.48</v>
      </c>
      <c r="E65" s="421">
        <v>222.36</v>
      </c>
      <c r="F65" s="413">
        <f>D65-E65</f>
        <v>778.12</v>
      </c>
      <c r="G65" s="411">
        <v>1000.48</v>
      </c>
      <c r="H65" s="411">
        <v>0</v>
      </c>
      <c r="I65" s="411">
        <v>0</v>
      </c>
      <c r="J65" s="411">
        <v>0</v>
      </c>
      <c r="K65" s="411">
        <v>0</v>
      </c>
      <c r="L65" s="414">
        <v>5</v>
      </c>
      <c r="M65" s="411">
        <v>19</v>
      </c>
      <c r="N65" s="415" t="s">
        <v>205</v>
      </c>
      <c r="O65" s="415" t="s">
        <v>205</v>
      </c>
      <c r="P65" s="416">
        <v>10</v>
      </c>
      <c r="Q65" s="418"/>
      <c r="R65" s="417">
        <v>1000.48</v>
      </c>
      <c r="S65" s="418"/>
    </row>
    <row r="66" s="70" customFormat="1" spans="1:19">
      <c r="A66" s="410" t="s">
        <v>257</v>
      </c>
      <c r="B66" s="410" t="s">
        <v>343</v>
      </c>
      <c r="C66" s="410" t="s">
        <v>344</v>
      </c>
      <c r="D66" s="411">
        <v>685.95</v>
      </c>
      <c r="E66" s="425"/>
      <c r="F66" s="413">
        <f>D66-E66</f>
        <v>685.95</v>
      </c>
      <c r="G66" s="411">
        <v>685.95</v>
      </c>
      <c r="H66" s="411">
        <v>0</v>
      </c>
      <c r="I66" s="411">
        <v>0</v>
      </c>
      <c r="J66" s="411">
        <v>0</v>
      </c>
      <c r="K66" s="411">
        <v>0</v>
      </c>
      <c r="L66" s="414">
        <v>25</v>
      </c>
      <c r="M66" s="411">
        <v>12</v>
      </c>
      <c r="N66" s="415" t="s">
        <v>205</v>
      </c>
      <c r="O66" s="415"/>
      <c r="P66" s="416">
        <v>7</v>
      </c>
      <c r="Q66" s="418"/>
      <c r="R66" s="417">
        <v>685.95</v>
      </c>
      <c r="S66" s="418"/>
    </row>
    <row r="67" s="70" customFormat="1" spans="1:19">
      <c r="A67" s="410" t="s">
        <v>224</v>
      </c>
      <c r="B67" s="410" t="s">
        <v>345</v>
      </c>
      <c r="C67" s="410" t="s">
        <v>346</v>
      </c>
      <c r="D67" s="411">
        <v>1153.62</v>
      </c>
      <c r="E67" s="423"/>
      <c r="F67" s="413">
        <f>D67-E67</f>
        <v>1153.62</v>
      </c>
      <c r="G67" s="411">
        <v>1153.62</v>
      </c>
      <c r="H67" s="411">
        <v>0</v>
      </c>
      <c r="I67" s="411">
        <v>0</v>
      </c>
      <c r="J67" s="411">
        <v>0</v>
      </c>
      <c r="K67" s="411">
        <v>0</v>
      </c>
      <c r="L67" s="414">
        <v>21</v>
      </c>
      <c r="M67" s="411">
        <v>7</v>
      </c>
      <c r="N67" s="415" t="s">
        <v>205</v>
      </c>
      <c r="O67" s="415"/>
      <c r="P67" s="416">
        <v>8</v>
      </c>
      <c r="Q67" s="418"/>
      <c r="R67" s="417">
        <v>1153.62</v>
      </c>
      <c r="S67" s="418"/>
    </row>
    <row r="68" s="70" customFormat="1" spans="1:19">
      <c r="A68" s="410" t="s">
        <v>276</v>
      </c>
      <c r="B68" s="410" t="s">
        <v>347</v>
      </c>
      <c r="C68" s="410" t="s">
        <v>348</v>
      </c>
      <c r="D68" s="411">
        <v>80814.02</v>
      </c>
      <c r="E68" s="421">
        <v>64197.1</v>
      </c>
      <c r="F68" s="413">
        <f>D68-E68</f>
        <v>16616.92</v>
      </c>
      <c r="G68" s="411">
        <v>80814.02</v>
      </c>
      <c r="H68" s="411">
        <v>0</v>
      </c>
      <c r="I68" s="411">
        <v>0</v>
      </c>
      <c r="J68" s="411">
        <v>0</v>
      </c>
      <c r="K68" s="411">
        <v>0</v>
      </c>
      <c r="L68" s="414">
        <v>960</v>
      </c>
      <c r="M68" s="411">
        <v>828</v>
      </c>
      <c r="N68" s="415" t="s">
        <v>205</v>
      </c>
      <c r="O68" s="415" t="s">
        <v>205</v>
      </c>
      <c r="P68" s="416">
        <v>492</v>
      </c>
      <c r="Q68" s="417">
        <v>80814.02</v>
      </c>
      <c r="R68" s="418"/>
      <c r="S68" s="418"/>
    </row>
    <row r="69" s="70" customFormat="1" spans="1:19">
      <c r="A69" s="410" t="s">
        <v>305</v>
      </c>
      <c r="B69" s="410" t="s">
        <v>349</v>
      </c>
      <c r="C69" s="410" t="s">
        <v>350</v>
      </c>
      <c r="D69" s="411">
        <v>3549.6</v>
      </c>
      <c r="E69" s="425"/>
      <c r="F69" s="413">
        <f>D69-E69</f>
        <v>3549.6</v>
      </c>
      <c r="G69" s="411">
        <v>3549.6</v>
      </c>
      <c r="H69" s="411">
        <v>0</v>
      </c>
      <c r="I69" s="411">
        <v>0</v>
      </c>
      <c r="J69" s="411">
        <v>0</v>
      </c>
      <c r="K69" s="411">
        <v>0</v>
      </c>
      <c r="L69" s="414">
        <v>77</v>
      </c>
      <c r="M69" s="411">
        <v>60</v>
      </c>
      <c r="N69" s="415" t="s">
        <v>205</v>
      </c>
      <c r="O69" s="415"/>
      <c r="P69" s="416">
        <v>18</v>
      </c>
      <c r="Q69" s="417">
        <v>3549.6</v>
      </c>
      <c r="R69" s="418"/>
      <c r="S69" s="418"/>
    </row>
    <row r="70" s="70" customFormat="1" spans="1:19">
      <c r="A70" s="410" t="s">
        <v>224</v>
      </c>
      <c r="B70" s="410" t="s">
        <v>351</v>
      </c>
      <c r="C70" s="410" t="s">
        <v>352</v>
      </c>
      <c r="D70" s="411">
        <v>3098.6</v>
      </c>
      <c r="E70" s="422">
        <v>3682.84</v>
      </c>
      <c r="F70" s="413">
        <f>D70-E70</f>
        <v>-584.24</v>
      </c>
      <c r="G70" s="411">
        <v>3098.6</v>
      </c>
      <c r="H70" s="411">
        <v>0</v>
      </c>
      <c r="I70" s="411">
        <v>0</v>
      </c>
      <c r="J70" s="411">
        <v>0</v>
      </c>
      <c r="K70" s="411">
        <v>0</v>
      </c>
      <c r="L70" s="414">
        <v>71</v>
      </c>
      <c r="M70" s="411">
        <v>52</v>
      </c>
      <c r="N70" s="415" t="s">
        <v>205</v>
      </c>
      <c r="O70" s="415" t="s">
        <v>205</v>
      </c>
      <c r="P70" s="416">
        <v>23</v>
      </c>
      <c r="Q70" s="418"/>
      <c r="R70" s="418"/>
      <c r="S70" s="417">
        <v>3098.6</v>
      </c>
    </row>
    <row r="71" s="70" customFormat="1" spans="1:19">
      <c r="A71" s="410" t="s">
        <v>273</v>
      </c>
      <c r="B71" s="410" t="s">
        <v>353</v>
      </c>
      <c r="C71" s="410" t="s">
        <v>354</v>
      </c>
      <c r="D71" s="411">
        <v>11311.61</v>
      </c>
      <c r="E71" s="422">
        <v>88857.81</v>
      </c>
      <c r="F71" s="413">
        <f>D71-E71</f>
        <v>-77546.2</v>
      </c>
      <c r="G71" s="411">
        <v>11311.61</v>
      </c>
      <c r="H71" s="411">
        <v>0</v>
      </c>
      <c r="I71" s="411">
        <v>0</v>
      </c>
      <c r="J71" s="411">
        <v>0</v>
      </c>
      <c r="K71" s="411">
        <v>0</v>
      </c>
      <c r="L71" s="414">
        <v>306</v>
      </c>
      <c r="M71" s="411">
        <v>389</v>
      </c>
      <c r="N71" s="415" t="s">
        <v>205</v>
      </c>
      <c r="O71" s="415" t="s">
        <v>205</v>
      </c>
      <c r="P71" s="420">
        <v>190</v>
      </c>
      <c r="Q71" s="417">
        <v>11311.61</v>
      </c>
      <c r="R71" s="418"/>
      <c r="S71" s="418"/>
    </row>
    <row r="72" s="70" customFormat="1" spans="1:19">
      <c r="A72" s="410" t="s">
        <v>355</v>
      </c>
      <c r="B72" s="410" t="s">
        <v>356</v>
      </c>
      <c r="C72" s="410" t="s">
        <v>357</v>
      </c>
      <c r="D72" s="411">
        <v>17987.7</v>
      </c>
      <c r="E72" s="422"/>
      <c r="F72" s="413">
        <f>D72-E72</f>
        <v>17987.7</v>
      </c>
      <c r="G72" s="411">
        <v>17987.7</v>
      </c>
      <c r="H72" s="411">
        <v>0</v>
      </c>
      <c r="I72" s="411">
        <v>0</v>
      </c>
      <c r="J72" s="411">
        <v>0</v>
      </c>
      <c r="K72" s="411">
        <v>0</v>
      </c>
      <c r="L72" s="414">
        <v>697</v>
      </c>
      <c r="M72" s="411">
        <v>504</v>
      </c>
      <c r="N72" s="415" t="s">
        <v>205</v>
      </c>
      <c r="O72" s="415"/>
      <c r="P72" s="420">
        <v>157</v>
      </c>
      <c r="Q72" s="417">
        <v>17987.7</v>
      </c>
      <c r="R72" s="418"/>
      <c r="S72" s="418"/>
    </row>
    <row r="73" s="70" customFormat="1" spans="1:19">
      <c r="A73" s="410" t="s">
        <v>305</v>
      </c>
      <c r="B73" s="410" t="s">
        <v>358</v>
      </c>
      <c r="C73" s="410" t="s">
        <v>359</v>
      </c>
      <c r="D73" s="411">
        <v>3219.77</v>
      </c>
      <c r="E73" s="422">
        <v>14339.64</v>
      </c>
      <c r="F73" s="413">
        <f>D73-E73</f>
        <v>-11119.87</v>
      </c>
      <c r="G73" s="411">
        <v>3219.77</v>
      </c>
      <c r="H73" s="411">
        <v>0</v>
      </c>
      <c r="I73" s="411">
        <v>0</v>
      </c>
      <c r="J73" s="411">
        <v>0</v>
      </c>
      <c r="K73" s="411">
        <v>0</v>
      </c>
      <c r="L73" s="414">
        <v>309</v>
      </c>
      <c r="M73" s="411">
        <v>272</v>
      </c>
      <c r="N73" s="415" t="s">
        <v>205</v>
      </c>
      <c r="O73" s="415" t="s">
        <v>205</v>
      </c>
      <c r="P73" s="420">
        <v>94</v>
      </c>
      <c r="Q73" s="417">
        <v>3219.77</v>
      </c>
      <c r="R73" s="418"/>
      <c r="S73" s="418"/>
    </row>
    <row r="74" s="70" customFormat="1" spans="1:19">
      <c r="A74" s="410" t="s">
        <v>305</v>
      </c>
      <c r="B74" s="410" t="s">
        <v>360</v>
      </c>
      <c r="C74" s="410" t="s">
        <v>361</v>
      </c>
      <c r="D74" s="411">
        <v>12358.36</v>
      </c>
      <c r="E74" s="422"/>
      <c r="F74" s="413">
        <f>D74-E74</f>
        <v>12358.36</v>
      </c>
      <c r="G74" s="411">
        <v>12358.36</v>
      </c>
      <c r="H74" s="411">
        <v>0</v>
      </c>
      <c r="I74" s="411">
        <v>0</v>
      </c>
      <c r="J74" s="411">
        <v>0</v>
      </c>
      <c r="K74" s="411">
        <v>0</v>
      </c>
      <c r="L74" s="414">
        <v>237</v>
      </c>
      <c r="M74" s="411">
        <v>436</v>
      </c>
      <c r="N74" s="415" t="s">
        <v>205</v>
      </c>
      <c r="O74" s="415"/>
      <c r="P74" s="420">
        <v>115</v>
      </c>
      <c r="Q74" s="417">
        <v>12358.36</v>
      </c>
      <c r="R74" s="418"/>
      <c r="S74" s="418"/>
    </row>
    <row r="75" s="70" customFormat="1" spans="1:19">
      <c r="A75" s="410" t="s">
        <v>257</v>
      </c>
      <c r="B75" s="410" t="s">
        <v>362</v>
      </c>
      <c r="C75" s="410" t="s">
        <v>363</v>
      </c>
      <c r="D75" s="411">
        <v>4050.46</v>
      </c>
      <c r="E75" s="422">
        <v>1149.54</v>
      </c>
      <c r="F75" s="413">
        <f>D75-E75</f>
        <v>2900.92</v>
      </c>
      <c r="G75" s="411">
        <v>4050.46</v>
      </c>
      <c r="H75" s="411">
        <v>0</v>
      </c>
      <c r="I75" s="411">
        <v>0</v>
      </c>
      <c r="J75" s="411">
        <v>0</v>
      </c>
      <c r="K75" s="411">
        <v>0</v>
      </c>
      <c r="L75" s="414">
        <v>83</v>
      </c>
      <c r="M75" s="411">
        <v>40</v>
      </c>
      <c r="N75" s="415" t="s">
        <v>205</v>
      </c>
      <c r="O75" s="415" t="s">
        <v>205</v>
      </c>
      <c r="P75" s="420">
        <v>35</v>
      </c>
      <c r="Q75" s="417">
        <v>4050.46</v>
      </c>
      <c r="R75" s="418"/>
      <c r="S75" s="418"/>
    </row>
    <row r="76" s="70" customFormat="1" spans="1:19">
      <c r="A76" s="410" t="s">
        <v>276</v>
      </c>
      <c r="B76" s="410" t="s">
        <v>364</v>
      </c>
      <c r="C76" s="410" t="s">
        <v>365</v>
      </c>
      <c r="D76" s="411">
        <v>73859.4</v>
      </c>
      <c r="E76" s="419">
        <v>76696.18</v>
      </c>
      <c r="F76" s="413">
        <f>D76-E76</f>
        <v>-2836.78</v>
      </c>
      <c r="G76" s="411">
        <v>73859.4</v>
      </c>
      <c r="H76" s="411">
        <v>0</v>
      </c>
      <c r="I76" s="411">
        <v>0</v>
      </c>
      <c r="J76" s="411">
        <v>0</v>
      </c>
      <c r="K76" s="411">
        <v>0</v>
      </c>
      <c r="L76" s="414">
        <v>828</v>
      </c>
      <c r="M76" s="411">
        <v>805</v>
      </c>
      <c r="N76" s="415" t="s">
        <v>205</v>
      </c>
      <c r="O76" s="415" t="s">
        <v>205</v>
      </c>
      <c r="P76" s="420">
        <v>517</v>
      </c>
      <c r="Q76" s="417">
        <v>73859.4</v>
      </c>
      <c r="R76" s="418"/>
      <c r="S76" s="418"/>
    </row>
    <row r="77" s="70" customFormat="1" spans="1:19">
      <c r="A77" s="410" t="s">
        <v>273</v>
      </c>
      <c r="B77" s="410" t="s">
        <v>366</v>
      </c>
      <c r="C77" s="410" t="s">
        <v>367</v>
      </c>
      <c r="D77" s="411">
        <v>2692.29</v>
      </c>
      <c r="E77" s="422"/>
      <c r="F77" s="413">
        <f>D77-E77</f>
        <v>2692.29</v>
      </c>
      <c r="G77" s="411">
        <v>2692.29</v>
      </c>
      <c r="H77" s="411">
        <v>0</v>
      </c>
      <c r="I77" s="411">
        <v>0</v>
      </c>
      <c r="J77" s="411">
        <v>0</v>
      </c>
      <c r="K77" s="411">
        <v>0</v>
      </c>
      <c r="L77" s="414">
        <v>79</v>
      </c>
      <c r="M77" s="411">
        <v>39</v>
      </c>
      <c r="N77" s="415" t="s">
        <v>205</v>
      </c>
      <c r="O77" s="415"/>
      <c r="P77" s="420">
        <v>23</v>
      </c>
      <c r="Q77" s="417">
        <v>2692.29</v>
      </c>
      <c r="R77" s="418"/>
      <c r="S77" s="418"/>
    </row>
    <row r="78" s="70" customFormat="1" spans="1:19">
      <c r="A78" s="410" t="s">
        <v>368</v>
      </c>
      <c r="B78" s="410" t="s">
        <v>369</v>
      </c>
      <c r="C78" s="410" t="s">
        <v>370</v>
      </c>
      <c r="D78" s="411">
        <v>16218</v>
      </c>
      <c r="E78" s="422"/>
      <c r="F78" s="413">
        <f>D78-E78</f>
        <v>16218</v>
      </c>
      <c r="G78" s="411">
        <v>16218</v>
      </c>
      <c r="H78" s="411">
        <v>0</v>
      </c>
      <c r="I78" s="411">
        <v>0</v>
      </c>
      <c r="J78" s="411">
        <v>0</v>
      </c>
      <c r="K78" s="411">
        <v>0</v>
      </c>
      <c r="L78" s="414">
        <v>1278</v>
      </c>
      <c r="M78" s="411">
        <v>1478</v>
      </c>
      <c r="N78" s="415" t="s">
        <v>205</v>
      </c>
      <c r="O78" s="415"/>
      <c r="P78" s="420">
        <v>270</v>
      </c>
      <c r="Q78" s="417">
        <v>16218</v>
      </c>
      <c r="R78" s="418"/>
      <c r="S78" s="418"/>
    </row>
    <row r="79" s="70" customFormat="1" spans="1:19">
      <c r="A79" s="410" t="s">
        <v>276</v>
      </c>
      <c r="B79" s="410" t="s">
        <v>371</v>
      </c>
      <c r="C79" s="410" t="s">
        <v>372</v>
      </c>
      <c r="D79" s="411">
        <v>1356.6</v>
      </c>
      <c r="E79" s="422"/>
      <c r="F79" s="413">
        <f>D79-E79</f>
        <v>1356.6</v>
      </c>
      <c r="G79" s="411">
        <v>1356.6</v>
      </c>
      <c r="H79" s="411">
        <v>0</v>
      </c>
      <c r="I79" s="411">
        <v>0</v>
      </c>
      <c r="J79" s="411">
        <v>0</v>
      </c>
      <c r="K79" s="411">
        <v>0</v>
      </c>
      <c r="L79" s="414">
        <v>427</v>
      </c>
      <c r="M79" s="411">
        <v>346</v>
      </c>
      <c r="N79" s="415" t="s">
        <v>205</v>
      </c>
      <c r="O79" s="415"/>
      <c r="P79" s="420">
        <v>38</v>
      </c>
      <c r="Q79" s="417">
        <v>1356.6</v>
      </c>
      <c r="R79" s="418"/>
      <c r="S79" s="418"/>
    </row>
    <row r="80" s="70" customFormat="1" spans="1:19">
      <c r="A80" s="410" t="s">
        <v>252</v>
      </c>
      <c r="B80" s="410" t="s">
        <v>373</v>
      </c>
      <c r="C80" s="410" t="s">
        <v>374</v>
      </c>
      <c r="D80" s="411">
        <v>1887</v>
      </c>
      <c r="E80" s="422"/>
      <c r="F80" s="413">
        <f>D80-E80</f>
        <v>1887</v>
      </c>
      <c r="G80" s="411">
        <v>1887</v>
      </c>
      <c r="H80" s="411">
        <v>0</v>
      </c>
      <c r="I80" s="411">
        <v>0</v>
      </c>
      <c r="J80" s="411">
        <v>0</v>
      </c>
      <c r="K80" s="411">
        <v>0</v>
      </c>
      <c r="L80" s="414">
        <v>22</v>
      </c>
      <c r="M80" s="411">
        <v>40</v>
      </c>
      <c r="N80" s="415" t="s">
        <v>205</v>
      </c>
      <c r="O80" s="415"/>
      <c r="P80" s="420">
        <v>16</v>
      </c>
      <c r="Q80" s="417">
        <v>1887</v>
      </c>
      <c r="R80" s="418"/>
      <c r="S80" s="418"/>
    </row>
    <row r="81" s="70" customFormat="1" spans="1:19">
      <c r="A81" s="426" t="s">
        <v>232</v>
      </c>
      <c r="B81" s="426" t="s">
        <v>375</v>
      </c>
      <c r="C81" s="426" t="s">
        <v>376</v>
      </c>
      <c r="D81" s="427">
        <v>7704.27</v>
      </c>
      <c r="E81" s="428">
        <v>3504.21</v>
      </c>
      <c r="F81" s="429">
        <f>D81-E81</f>
        <v>4200.06</v>
      </c>
      <c r="G81" s="427">
        <v>7704.27</v>
      </c>
      <c r="H81" s="427">
        <v>0</v>
      </c>
      <c r="I81" s="427">
        <v>0</v>
      </c>
      <c r="J81" s="427">
        <v>0</v>
      </c>
      <c r="K81" s="427">
        <v>0</v>
      </c>
      <c r="L81" s="430">
        <v>89</v>
      </c>
      <c r="M81" s="427">
        <v>59</v>
      </c>
      <c r="N81" s="431" t="s">
        <v>207</v>
      </c>
      <c r="O81" s="415" t="s">
        <v>205</v>
      </c>
      <c r="P81" s="432">
        <v>24</v>
      </c>
      <c r="Q81" s="417">
        <v>7704.27</v>
      </c>
      <c r="R81" s="418"/>
      <c r="S81" s="418"/>
    </row>
    <row r="82" s="70" customFormat="1" spans="1:19">
      <c r="A82" s="426" t="s">
        <v>273</v>
      </c>
      <c r="B82" s="426" t="s">
        <v>377</v>
      </c>
      <c r="C82" s="426" t="s">
        <v>378</v>
      </c>
      <c r="D82" s="427">
        <v>4048.29</v>
      </c>
      <c r="E82" s="433"/>
      <c r="F82" s="429">
        <f>D82-E82</f>
        <v>4048.29</v>
      </c>
      <c r="G82" s="427">
        <v>4048.29</v>
      </c>
      <c r="H82" s="427">
        <v>0</v>
      </c>
      <c r="I82" s="427">
        <v>0</v>
      </c>
      <c r="J82" s="427">
        <v>0</v>
      </c>
      <c r="K82" s="427">
        <v>0</v>
      </c>
      <c r="L82" s="430">
        <v>13</v>
      </c>
      <c r="M82" s="427">
        <v>16</v>
      </c>
      <c r="N82" s="431" t="s">
        <v>207</v>
      </c>
      <c r="O82" s="431"/>
      <c r="P82" s="434">
        <v>12</v>
      </c>
      <c r="Q82" s="417">
        <v>4048.29</v>
      </c>
      <c r="R82" s="418"/>
      <c r="S82" s="418"/>
    </row>
    <row r="83" s="70" customFormat="1" spans="1:19">
      <c r="A83" s="426" t="s">
        <v>229</v>
      </c>
      <c r="B83" s="426" t="s">
        <v>379</v>
      </c>
      <c r="C83" s="426" t="s">
        <v>380</v>
      </c>
      <c r="D83" s="427">
        <v>22942.5</v>
      </c>
      <c r="E83" s="428">
        <v>2269.15</v>
      </c>
      <c r="F83" s="429">
        <f>D83-E83</f>
        <v>20673.35</v>
      </c>
      <c r="G83" s="427">
        <v>22942.5</v>
      </c>
      <c r="H83" s="427">
        <v>0</v>
      </c>
      <c r="I83" s="427">
        <v>0</v>
      </c>
      <c r="J83" s="427">
        <v>0</v>
      </c>
      <c r="K83" s="427">
        <v>0</v>
      </c>
      <c r="L83" s="430">
        <v>138</v>
      </c>
      <c r="M83" s="427">
        <v>48</v>
      </c>
      <c r="N83" s="431" t="s">
        <v>207</v>
      </c>
      <c r="O83" s="415" t="s">
        <v>205</v>
      </c>
      <c r="P83" s="432">
        <v>69</v>
      </c>
      <c r="Q83" s="417">
        <v>22942.5</v>
      </c>
      <c r="R83" s="418"/>
      <c r="S83" s="418"/>
    </row>
    <row r="84" s="70" customFormat="1" spans="1:19">
      <c r="A84" s="426" t="s">
        <v>257</v>
      </c>
      <c r="B84" s="426" t="s">
        <v>381</v>
      </c>
      <c r="C84" s="426" t="s">
        <v>382</v>
      </c>
      <c r="D84" s="427">
        <v>6575.49</v>
      </c>
      <c r="E84" s="435"/>
      <c r="F84" s="429">
        <f>D84-E84</f>
        <v>6575.49</v>
      </c>
      <c r="G84" s="427">
        <v>6575.49</v>
      </c>
      <c r="H84" s="427">
        <v>0</v>
      </c>
      <c r="I84" s="427">
        <v>0</v>
      </c>
      <c r="J84" s="427">
        <v>0</v>
      </c>
      <c r="K84" s="427">
        <v>0</v>
      </c>
      <c r="L84" s="430">
        <v>50</v>
      </c>
      <c r="M84" s="427">
        <v>92</v>
      </c>
      <c r="N84" s="431" t="s">
        <v>207</v>
      </c>
      <c r="O84" s="431"/>
      <c r="P84" s="434">
        <v>21</v>
      </c>
      <c r="Q84" s="417">
        <v>6575.49</v>
      </c>
      <c r="R84" s="418"/>
      <c r="S84" s="418"/>
    </row>
    <row r="85" s="70" customFormat="1" spans="1:19">
      <c r="A85" s="426" t="s">
        <v>252</v>
      </c>
      <c r="B85" s="426" t="s">
        <v>383</v>
      </c>
      <c r="C85" s="426" t="s">
        <v>384</v>
      </c>
      <c r="D85" s="427">
        <v>18764.47</v>
      </c>
      <c r="E85" s="435">
        <v>10234.54</v>
      </c>
      <c r="F85" s="429">
        <f>D85-E85</f>
        <v>8529.93</v>
      </c>
      <c r="G85" s="427">
        <v>18764.47</v>
      </c>
      <c r="H85" s="427">
        <v>0</v>
      </c>
      <c r="I85" s="427">
        <v>0</v>
      </c>
      <c r="J85" s="427">
        <v>0</v>
      </c>
      <c r="K85" s="427">
        <v>0</v>
      </c>
      <c r="L85" s="430">
        <v>132</v>
      </c>
      <c r="M85" s="427">
        <v>74</v>
      </c>
      <c r="N85" s="431" t="s">
        <v>207</v>
      </c>
      <c r="O85" s="415" t="s">
        <v>205</v>
      </c>
      <c r="P85" s="434">
        <v>69</v>
      </c>
      <c r="Q85" s="417">
        <v>18764.47</v>
      </c>
      <c r="R85" s="418"/>
      <c r="S85" s="418"/>
    </row>
    <row r="86" s="70" customFormat="1" spans="1:19">
      <c r="A86" s="426" t="s">
        <v>257</v>
      </c>
      <c r="B86" s="426" t="s">
        <v>385</v>
      </c>
      <c r="C86" s="426" t="s">
        <v>386</v>
      </c>
      <c r="D86" s="427">
        <v>6374.41</v>
      </c>
      <c r="E86" s="435"/>
      <c r="F86" s="429">
        <f>D86-E86</f>
        <v>6374.41</v>
      </c>
      <c r="G86" s="427">
        <v>6374.41</v>
      </c>
      <c r="H86" s="427">
        <v>0</v>
      </c>
      <c r="I86" s="427">
        <v>0</v>
      </c>
      <c r="J86" s="427">
        <v>0</v>
      </c>
      <c r="K86" s="427">
        <v>0</v>
      </c>
      <c r="L86" s="430">
        <v>78</v>
      </c>
      <c r="M86" s="427">
        <v>51</v>
      </c>
      <c r="N86" s="431" t="s">
        <v>207</v>
      </c>
      <c r="O86" s="431"/>
      <c r="P86" s="436">
        <v>29</v>
      </c>
      <c r="Q86" s="417">
        <v>6374.41</v>
      </c>
      <c r="R86" s="418"/>
      <c r="S86" s="418"/>
    </row>
    <row r="87" s="70" customFormat="1" spans="1:19">
      <c r="A87" s="426" t="s">
        <v>268</v>
      </c>
      <c r="B87" s="426" t="s">
        <v>387</v>
      </c>
      <c r="C87" s="426" t="s">
        <v>388</v>
      </c>
      <c r="D87" s="427">
        <v>1343.34</v>
      </c>
      <c r="E87" s="435"/>
      <c r="F87" s="429">
        <f>D87-E87</f>
        <v>1343.34</v>
      </c>
      <c r="G87" s="427">
        <v>1343.34</v>
      </c>
      <c r="H87" s="427">
        <v>0</v>
      </c>
      <c r="I87" s="427">
        <v>0</v>
      </c>
      <c r="J87" s="427">
        <v>0</v>
      </c>
      <c r="K87" s="427">
        <v>0</v>
      </c>
      <c r="L87" s="430">
        <v>19</v>
      </c>
      <c r="M87" s="427">
        <v>8</v>
      </c>
      <c r="N87" s="431" t="s">
        <v>207</v>
      </c>
      <c r="O87" s="431"/>
      <c r="P87" s="436">
        <v>5</v>
      </c>
      <c r="Q87" s="418"/>
      <c r="R87" s="417">
        <v>1343.34</v>
      </c>
      <c r="S87" s="418"/>
    </row>
    <row r="88" s="70" customFormat="1" spans="1:19">
      <c r="A88" s="426" t="s">
        <v>389</v>
      </c>
      <c r="B88" s="426" t="s">
        <v>390</v>
      </c>
      <c r="C88" s="426" t="s">
        <v>391</v>
      </c>
      <c r="D88" s="427">
        <v>24745.2</v>
      </c>
      <c r="E88" s="435"/>
      <c r="F88" s="429">
        <f>D88-E88</f>
        <v>24745.2</v>
      </c>
      <c r="G88" s="427">
        <v>24745.2</v>
      </c>
      <c r="H88" s="427">
        <v>0</v>
      </c>
      <c r="I88" s="427">
        <v>0</v>
      </c>
      <c r="J88" s="427">
        <v>0</v>
      </c>
      <c r="K88" s="427">
        <v>0</v>
      </c>
      <c r="L88" s="430">
        <v>126</v>
      </c>
      <c r="M88" s="427">
        <v>72</v>
      </c>
      <c r="N88" s="431" t="s">
        <v>207</v>
      </c>
      <c r="O88" s="431"/>
      <c r="P88" s="434">
        <v>46</v>
      </c>
      <c r="Q88" s="417">
        <v>24745.2</v>
      </c>
      <c r="R88" s="418"/>
      <c r="S88" s="418"/>
    </row>
    <row r="89" s="70" customFormat="1" spans="1:19">
      <c r="A89" s="437" t="s">
        <v>224</v>
      </c>
      <c r="B89" s="437" t="s">
        <v>392</v>
      </c>
      <c r="C89" s="437" t="s">
        <v>393</v>
      </c>
      <c r="D89" s="417">
        <v>4836.33</v>
      </c>
      <c r="E89" s="438"/>
      <c r="F89" s="439">
        <f>D89-E89</f>
        <v>4836.33</v>
      </c>
      <c r="G89" s="417">
        <v>4836.33</v>
      </c>
      <c r="H89" s="417">
        <v>0</v>
      </c>
      <c r="I89" s="417">
        <v>0</v>
      </c>
      <c r="J89" s="417">
        <v>0</v>
      </c>
      <c r="K89" s="417">
        <v>0</v>
      </c>
      <c r="L89" s="440">
        <v>5</v>
      </c>
      <c r="M89" s="417">
        <v>15</v>
      </c>
      <c r="N89" s="441" t="s">
        <v>394</v>
      </c>
      <c r="O89" s="441"/>
      <c r="P89" s="442" t="s">
        <v>88</v>
      </c>
      <c r="Q89" s="418"/>
      <c r="R89" s="417">
        <v>4836.33</v>
      </c>
      <c r="S89" s="418"/>
    </row>
    <row r="90" s="70" customFormat="1" spans="1:19">
      <c r="A90" s="437" t="s">
        <v>268</v>
      </c>
      <c r="B90" s="437" t="s">
        <v>395</v>
      </c>
      <c r="C90" s="437" t="s">
        <v>396</v>
      </c>
      <c r="D90" s="417">
        <v>511.53</v>
      </c>
      <c r="E90" s="438"/>
      <c r="F90" s="439">
        <f>D90-E90</f>
        <v>511.53</v>
      </c>
      <c r="G90" s="417">
        <v>511.53</v>
      </c>
      <c r="H90" s="417">
        <v>0</v>
      </c>
      <c r="I90" s="417">
        <v>0</v>
      </c>
      <c r="J90" s="417">
        <v>0</v>
      </c>
      <c r="K90" s="417">
        <v>0</v>
      </c>
      <c r="L90" s="440">
        <v>14</v>
      </c>
      <c r="M90" s="417">
        <v>0</v>
      </c>
      <c r="N90" s="441" t="s">
        <v>394</v>
      </c>
      <c r="O90" s="441"/>
      <c r="P90" s="442" t="s">
        <v>88</v>
      </c>
      <c r="Q90" s="417">
        <v>511.53</v>
      </c>
      <c r="R90" s="418"/>
      <c r="S90" s="418"/>
    </row>
    <row r="91" s="70" customFormat="1" spans="1:19">
      <c r="A91" s="437" t="s">
        <v>268</v>
      </c>
      <c r="B91" s="437" t="s">
        <v>397</v>
      </c>
      <c r="C91" s="437" t="s">
        <v>398</v>
      </c>
      <c r="D91" s="417">
        <v>4231.92</v>
      </c>
      <c r="E91" s="443">
        <v>3704.94</v>
      </c>
      <c r="F91" s="439">
        <f>D91-E91</f>
        <v>526.98</v>
      </c>
      <c r="G91" s="417">
        <v>4231.92</v>
      </c>
      <c r="H91" s="417">
        <v>0</v>
      </c>
      <c r="I91" s="417">
        <v>0</v>
      </c>
      <c r="J91" s="417">
        <v>0</v>
      </c>
      <c r="K91" s="417">
        <v>0</v>
      </c>
      <c r="L91" s="440">
        <v>26</v>
      </c>
      <c r="M91" s="417">
        <v>29</v>
      </c>
      <c r="N91" s="441" t="s">
        <v>394</v>
      </c>
      <c r="O91" s="415" t="s">
        <v>205</v>
      </c>
      <c r="P91" s="442" t="s">
        <v>88</v>
      </c>
      <c r="Q91" s="417">
        <v>4231.92</v>
      </c>
      <c r="R91" s="418"/>
      <c r="S91" s="418"/>
    </row>
    <row r="92" s="70" customFormat="1" spans="1:19">
      <c r="A92" s="437" t="s">
        <v>268</v>
      </c>
      <c r="B92" s="437" t="s">
        <v>399</v>
      </c>
      <c r="C92" s="437" t="s">
        <v>400</v>
      </c>
      <c r="D92" s="417">
        <v>12979.53</v>
      </c>
      <c r="E92" s="438">
        <v>7918.52</v>
      </c>
      <c r="F92" s="439">
        <f t="shared" ref="F87:F96" si="2">D92-E92</f>
        <v>5061.01</v>
      </c>
      <c r="G92" s="417">
        <v>12979.53</v>
      </c>
      <c r="H92" s="417">
        <v>0</v>
      </c>
      <c r="I92" s="417">
        <v>0</v>
      </c>
      <c r="J92" s="417">
        <v>0</v>
      </c>
      <c r="K92" s="417">
        <v>0</v>
      </c>
      <c r="L92" s="440">
        <v>25</v>
      </c>
      <c r="M92" s="417">
        <v>27</v>
      </c>
      <c r="N92" s="441" t="s">
        <v>394</v>
      </c>
      <c r="O92" s="415" t="s">
        <v>205</v>
      </c>
      <c r="P92" s="442" t="s">
        <v>88</v>
      </c>
      <c r="Q92" s="417">
        <v>12979.53</v>
      </c>
      <c r="R92" s="418"/>
      <c r="S92" s="418"/>
    </row>
    <row r="93" s="70" customFormat="1" spans="1:19">
      <c r="A93" s="437" t="s">
        <v>305</v>
      </c>
      <c r="B93" s="437" t="s">
        <v>401</v>
      </c>
      <c r="C93" s="437" t="s">
        <v>402</v>
      </c>
      <c r="D93" s="417">
        <v>2524.5</v>
      </c>
      <c r="E93" s="444"/>
      <c r="F93" s="439">
        <f t="shared" si="2"/>
        <v>2524.5</v>
      </c>
      <c r="G93" s="417">
        <v>2524.5</v>
      </c>
      <c r="H93" s="417">
        <v>0</v>
      </c>
      <c r="I93" s="417">
        <v>0</v>
      </c>
      <c r="J93" s="417">
        <v>0</v>
      </c>
      <c r="K93" s="417">
        <v>0</v>
      </c>
      <c r="L93" s="440">
        <v>11</v>
      </c>
      <c r="M93" s="417">
        <v>0</v>
      </c>
      <c r="N93" s="441" t="s">
        <v>394</v>
      </c>
      <c r="O93" s="441"/>
      <c r="P93" s="442" t="s">
        <v>88</v>
      </c>
      <c r="Q93" s="417">
        <v>2524.5</v>
      </c>
      <c r="R93" s="418"/>
      <c r="S93" s="418"/>
    </row>
    <row r="94" s="70" customFormat="1" spans="1:19">
      <c r="A94" s="437" t="s">
        <v>305</v>
      </c>
      <c r="B94" s="437" t="s">
        <v>403</v>
      </c>
      <c r="C94" s="437" t="s">
        <v>404</v>
      </c>
      <c r="D94" s="417">
        <v>5809.92</v>
      </c>
      <c r="E94" s="445"/>
      <c r="F94" s="439">
        <f t="shared" si="2"/>
        <v>5809.92</v>
      </c>
      <c r="G94" s="417">
        <v>5809.92</v>
      </c>
      <c r="H94" s="417">
        <v>0</v>
      </c>
      <c r="I94" s="417">
        <v>0</v>
      </c>
      <c r="J94" s="417">
        <v>0</v>
      </c>
      <c r="K94" s="417">
        <v>0</v>
      </c>
      <c r="L94" s="440">
        <v>54</v>
      </c>
      <c r="M94" s="417">
        <v>12</v>
      </c>
      <c r="N94" s="441" t="s">
        <v>394</v>
      </c>
      <c r="O94" s="441"/>
      <c r="P94" s="442" t="s">
        <v>88</v>
      </c>
      <c r="Q94" s="417">
        <v>5809.92</v>
      </c>
      <c r="R94" s="418"/>
      <c r="S94" s="418"/>
    </row>
    <row r="95" s="70" customFormat="1" spans="1:19">
      <c r="A95" s="437" t="s">
        <v>257</v>
      </c>
      <c r="B95" s="437" t="s">
        <v>405</v>
      </c>
      <c r="C95" s="437" t="s">
        <v>406</v>
      </c>
      <c r="D95" s="417">
        <v>4094.89</v>
      </c>
      <c r="E95" s="438">
        <v>646.1</v>
      </c>
      <c r="F95" s="439">
        <f t="shared" si="2"/>
        <v>3448.79</v>
      </c>
      <c r="G95" s="417">
        <v>4094.89</v>
      </c>
      <c r="H95" s="417">
        <v>0</v>
      </c>
      <c r="I95" s="417">
        <v>0</v>
      </c>
      <c r="J95" s="417">
        <v>0</v>
      </c>
      <c r="K95" s="417">
        <v>0</v>
      </c>
      <c r="L95" s="440">
        <v>33</v>
      </c>
      <c r="M95" s="417">
        <v>24</v>
      </c>
      <c r="N95" s="441" t="s">
        <v>394</v>
      </c>
      <c r="O95" s="415" t="s">
        <v>205</v>
      </c>
      <c r="P95" s="442" t="s">
        <v>88</v>
      </c>
      <c r="Q95" s="417">
        <v>4094.89</v>
      </c>
      <c r="R95" s="418"/>
      <c r="S95" s="418"/>
    </row>
    <row r="96" s="70" customFormat="1" spans="1:19">
      <c r="A96" s="437" t="s">
        <v>268</v>
      </c>
      <c r="B96" s="437" t="s">
        <v>407</v>
      </c>
      <c r="C96" s="437" t="s">
        <v>408</v>
      </c>
      <c r="D96" s="417">
        <v>10711.53</v>
      </c>
      <c r="E96" s="446"/>
      <c r="F96" s="439">
        <f t="shared" si="2"/>
        <v>10711.53</v>
      </c>
      <c r="G96" s="417">
        <v>10711.53</v>
      </c>
      <c r="H96" s="417">
        <v>0</v>
      </c>
      <c r="I96" s="417">
        <v>0</v>
      </c>
      <c r="J96" s="417">
        <v>0</v>
      </c>
      <c r="K96" s="417">
        <v>0</v>
      </c>
      <c r="L96" s="440">
        <v>136</v>
      </c>
      <c r="M96" s="417">
        <v>0</v>
      </c>
      <c r="N96" s="441" t="s">
        <v>394</v>
      </c>
      <c r="O96" s="441"/>
      <c r="P96" s="442" t="s">
        <v>88</v>
      </c>
      <c r="Q96" s="417">
        <v>10711.53</v>
      </c>
      <c r="R96" s="418"/>
      <c r="S96" s="418"/>
    </row>
    <row r="97" s="70" customFormat="1" spans="1:19">
      <c r="A97" s="437" t="s">
        <v>232</v>
      </c>
      <c r="B97" s="437" t="s">
        <v>409</v>
      </c>
      <c r="C97" s="437" t="s">
        <v>410</v>
      </c>
      <c r="D97" s="417">
        <v>251.94</v>
      </c>
      <c r="E97" s="446"/>
      <c r="F97" s="439">
        <f>D97-E97</f>
        <v>251.94</v>
      </c>
      <c r="G97" s="417">
        <v>251.94</v>
      </c>
      <c r="H97" s="417">
        <v>0</v>
      </c>
      <c r="I97" s="417">
        <v>0</v>
      </c>
      <c r="J97" s="417">
        <v>0</v>
      </c>
      <c r="K97" s="417">
        <v>0</v>
      </c>
      <c r="L97" s="440">
        <v>11</v>
      </c>
      <c r="M97" s="417">
        <v>9</v>
      </c>
      <c r="N97" s="441" t="s">
        <v>394</v>
      </c>
      <c r="O97" s="441"/>
      <c r="P97" s="442" t="s">
        <v>88</v>
      </c>
      <c r="Q97" s="418"/>
      <c r="R97" s="417">
        <v>251.94</v>
      </c>
      <c r="S97" s="418"/>
    </row>
    <row r="98" spans="1:19">
      <c r="A98" s="437" t="s">
        <v>224</v>
      </c>
      <c r="B98" s="437" t="s">
        <v>411</v>
      </c>
      <c r="C98" s="437" t="s">
        <v>412</v>
      </c>
      <c r="D98" s="417">
        <v>2524.5</v>
      </c>
      <c r="E98" s="446"/>
      <c r="F98" s="439">
        <f>D98-E98</f>
        <v>2524.5</v>
      </c>
      <c r="G98" s="417">
        <v>2524.5</v>
      </c>
      <c r="H98" s="417">
        <v>0</v>
      </c>
      <c r="I98" s="417">
        <v>0</v>
      </c>
      <c r="J98" s="417">
        <v>0</v>
      </c>
      <c r="K98" s="417">
        <v>0</v>
      </c>
      <c r="L98" s="440">
        <v>8</v>
      </c>
      <c r="M98" s="417">
        <v>0</v>
      </c>
      <c r="N98" s="441" t="s">
        <v>394</v>
      </c>
      <c r="O98" s="441"/>
      <c r="P98" s="442" t="s">
        <v>88</v>
      </c>
      <c r="Q98" s="418"/>
      <c r="R98" s="417">
        <v>2524.5</v>
      </c>
      <c r="S98" s="447"/>
    </row>
    <row r="99" s="70" customFormat="1" spans="1:19">
      <c r="A99" s="448" t="s">
        <v>232</v>
      </c>
      <c r="B99" s="448" t="s">
        <v>413</v>
      </c>
      <c r="C99" s="448" t="s">
        <v>414</v>
      </c>
      <c r="D99" s="449">
        <v>2743.5</v>
      </c>
      <c r="E99" s="450">
        <v>2743.5</v>
      </c>
      <c r="F99" s="451">
        <f t="shared" ref="F99:F103" si="3">D99-E99</f>
        <v>0</v>
      </c>
      <c r="G99" s="449">
        <v>0</v>
      </c>
      <c r="H99" s="449">
        <v>0</v>
      </c>
      <c r="I99" s="449">
        <v>0</v>
      </c>
      <c r="J99" s="449">
        <v>0</v>
      </c>
      <c r="K99" s="449">
        <v>2743.5</v>
      </c>
      <c r="L99" s="448"/>
      <c r="M99" s="452">
        <v>0</v>
      </c>
      <c r="N99" s="453" t="s">
        <v>415</v>
      </c>
      <c r="O99" s="453" t="s">
        <v>415</v>
      </c>
      <c r="P99" s="454" t="s">
        <v>88</v>
      </c>
      <c r="Q99" s="418"/>
      <c r="R99" s="418"/>
      <c r="S99" s="418"/>
    </row>
    <row r="100" s="70" customFormat="1" spans="1:19">
      <c r="A100" s="448" t="s">
        <v>232</v>
      </c>
      <c r="B100" s="448" t="s">
        <v>416</v>
      </c>
      <c r="C100" s="448" t="s">
        <v>417</v>
      </c>
      <c r="D100" s="449">
        <v>8367</v>
      </c>
      <c r="E100" s="449">
        <v>8367</v>
      </c>
      <c r="F100" s="451">
        <f t="shared" si="3"/>
        <v>0</v>
      </c>
      <c r="G100" s="449">
        <v>0</v>
      </c>
      <c r="H100" s="449">
        <v>0</v>
      </c>
      <c r="I100" s="449">
        <v>0</v>
      </c>
      <c r="J100" s="449">
        <v>0</v>
      </c>
      <c r="K100" s="449">
        <v>8367</v>
      </c>
      <c r="L100" s="448"/>
      <c r="M100" s="452">
        <v>0</v>
      </c>
      <c r="N100" s="453" t="s">
        <v>418</v>
      </c>
      <c r="O100" s="453" t="s">
        <v>418</v>
      </c>
      <c r="P100" s="454" t="s">
        <v>88</v>
      </c>
      <c r="Q100" s="418"/>
      <c r="R100" s="418"/>
      <c r="S100" s="418"/>
    </row>
    <row r="101" s="70" customFormat="1" spans="1:19">
      <c r="A101" s="448" t="s">
        <v>305</v>
      </c>
      <c r="B101" s="448" t="s">
        <v>419</v>
      </c>
      <c r="C101" s="448" t="s">
        <v>420</v>
      </c>
      <c r="D101" s="449">
        <v>23378.16</v>
      </c>
      <c r="E101" s="449">
        <v>23378.16</v>
      </c>
      <c r="F101" s="451">
        <f t="shared" si="3"/>
        <v>0</v>
      </c>
      <c r="G101" s="449">
        <v>0</v>
      </c>
      <c r="H101" s="449">
        <v>0</v>
      </c>
      <c r="I101" s="449">
        <v>0</v>
      </c>
      <c r="J101" s="449">
        <v>0</v>
      </c>
      <c r="K101" s="449">
        <v>23378.16</v>
      </c>
      <c r="L101" s="448"/>
      <c r="M101" s="452">
        <v>0</v>
      </c>
      <c r="N101" s="453" t="s">
        <v>421</v>
      </c>
      <c r="O101" s="453" t="s">
        <v>421</v>
      </c>
      <c r="P101" s="454" t="s">
        <v>88</v>
      </c>
      <c r="Q101" s="418"/>
      <c r="R101" s="418"/>
      <c r="S101" s="418"/>
    </row>
    <row r="102" s="70" customFormat="1" spans="1:19">
      <c r="A102" s="448" t="s">
        <v>224</v>
      </c>
      <c r="B102" s="448" t="s">
        <v>422</v>
      </c>
      <c r="C102" s="448" t="s">
        <v>423</v>
      </c>
      <c r="D102" s="449">
        <v>4181.22</v>
      </c>
      <c r="E102" s="449">
        <v>4389.6</v>
      </c>
      <c r="F102" s="451">
        <f t="shared" si="3"/>
        <v>-208.38</v>
      </c>
      <c r="G102" s="449">
        <v>0</v>
      </c>
      <c r="H102" s="449">
        <v>0</v>
      </c>
      <c r="I102" s="449">
        <v>0</v>
      </c>
      <c r="J102" s="449">
        <v>0</v>
      </c>
      <c r="K102" s="449">
        <v>4181.22</v>
      </c>
      <c r="L102" s="448"/>
      <c r="M102" s="452">
        <v>0</v>
      </c>
      <c r="N102" s="453" t="s">
        <v>424</v>
      </c>
      <c r="O102" s="453" t="s">
        <v>424</v>
      </c>
      <c r="P102" s="454" t="s">
        <v>88</v>
      </c>
      <c r="Q102" s="418"/>
      <c r="R102" s="418"/>
      <c r="S102" s="418"/>
    </row>
    <row r="103" s="70" customFormat="1" spans="1:19">
      <c r="A103" s="448" t="s">
        <v>252</v>
      </c>
      <c r="B103" s="448" t="s">
        <v>425</v>
      </c>
      <c r="C103" s="448" t="s">
        <v>426</v>
      </c>
      <c r="D103" s="449">
        <v>4689.04</v>
      </c>
      <c r="E103" s="449">
        <v>4689.04</v>
      </c>
      <c r="F103" s="451">
        <f t="shared" si="3"/>
        <v>0</v>
      </c>
      <c r="G103" s="449">
        <v>0</v>
      </c>
      <c r="H103" s="449">
        <v>0</v>
      </c>
      <c r="I103" s="449">
        <v>0</v>
      </c>
      <c r="J103" s="449">
        <v>0</v>
      </c>
      <c r="K103" s="449">
        <v>4689.04</v>
      </c>
      <c r="L103" s="448"/>
      <c r="M103" s="452">
        <v>0</v>
      </c>
      <c r="N103" s="453" t="s">
        <v>427</v>
      </c>
      <c r="O103" s="453" t="s">
        <v>427</v>
      </c>
      <c r="P103" s="454" t="s">
        <v>88</v>
      </c>
      <c r="Q103" s="418"/>
      <c r="R103" s="418"/>
      <c r="S103" s="418"/>
    </row>
    <row r="104" spans="1:19">
      <c r="A104" s="448" t="s">
        <v>237</v>
      </c>
      <c r="B104" s="448" t="s">
        <v>428</v>
      </c>
      <c r="C104" s="448" t="s">
        <v>429</v>
      </c>
      <c r="D104" s="449">
        <v>9536.85</v>
      </c>
      <c r="E104" s="449">
        <v>9536.85</v>
      </c>
      <c r="F104" s="451">
        <f t="shared" ref="F104" si="4">D104-E104</f>
        <v>0</v>
      </c>
      <c r="G104" s="449">
        <v>0</v>
      </c>
      <c r="H104" s="449">
        <v>0</v>
      </c>
      <c r="I104" s="449">
        <v>0</v>
      </c>
      <c r="J104" s="449">
        <v>0</v>
      </c>
      <c r="K104" s="449">
        <v>9536.85</v>
      </c>
      <c r="L104" s="448"/>
      <c r="M104" s="452">
        <v>0</v>
      </c>
      <c r="N104" s="453" t="s">
        <v>430</v>
      </c>
      <c r="O104" s="453" t="s">
        <v>430</v>
      </c>
      <c r="P104" s="454" t="s">
        <v>88</v>
      </c>
      <c r="Q104" s="418"/>
      <c r="R104" s="418"/>
      <c r="S104" s="418"/>
    </row>
    <row r="105" spans="1:19">
      <c r="A105" s="448" t="s">
        <v>232</v>
      </c>
      <c r="B105" s="448" t="s">
        <v>431</v>
      </c>
      <c r="C105" s="448" t="s">
        <v>432</v>
      </c>
      <c r="D105" s="449">
        <v>2498.02</v>
      </c>
      <c r="E105" s="449">
        <v>2498.02</v>
      </c>
      <c r="F105" s="451">
        <f t="shared" ref="F105:F111" si="5">D105-E105</f>
        <v>0</v>
      </c>
      <c r="G105" s="449">
        <v>0</v>
      </c>
      <c r="H105" s="449">
        <v>0</v>
      </c>
      <c r="I105" s="449">
        <v>0</v>
      </c>
      <c r="J105" s="449">
        <v>0</v>
      </c>
      <c r="K105" s="449">
        <v>2498.02</v>
      </c>
      <c r="L105" s="448"/>
      <c r="M105" s="452">
        <v>0</v>
      </c>
      <c r="N105" s="453" t="s">
        <v>433</v>
      </c>
      <c r="O105" s="453" t="s">
        <v>433</v>
      </c>
      <c r="P105" s="454" t="s">
        <v>88</v>
      </c>
      <c r="Q105" s="418"/>
      <c r="R105" s="418"/>
      <c r="S105" s="418"/>
    </row>
    <row r="106" s="70" customFormat="1" spans="1:19">
      <c r="A106" s="448" t="s">
        <v>232</v>
      </c>
      <c r="B106" s="448" t="s">
        <v>434</v>
      </c>
      <c r="C106" s="448" t="s">
        <v>435</v>
      </c>
      <c r="D106" s="449">
        <v>3360</v>
      </c>
      <c r="E106" s="449">
        <v>3360</v>
      </c>
      <c r="F106" s="451">
        <f t="shared" si="5"/>
        <v>0</v>
      </c>
      <c r="G106" s="449">
        <v>0</v>
      </c>
      <c r="H106" s="449">
        <v>0</v>
      </c>
      <c r="I106" s="449">
        <v>0</v>
      </c>
      <c r="J106" s="449">
        <v>0</v>
      </c>
      <c r="K106" s="449">
        <v>3360</v>
      </c>
      <c r="L106" s="448"/>
      <c r="M106" s="452">
        <v>0</v>
      </c>
      <c r="N106" s="453" t="s">
        <v>436</v>
      </c>
      <c r="O106" s="453" t="s">
        <v>436</v>
      </c>
      <c r="P106" s="454" t="s">
        <v>88</v>
      </c>
      <c r="Q106" s="418"/>
      <c r="R106" s="418"/>
      <c r="S106" s="418"/>
    </row>
    <row r="107" spans="1:19">
      <c r="A107" s="448" t="s">
        <v>237</v>
      </c>
      <c r="B107" s="448" t="s">
        <v>437</v>
      </c>
      <c r="C107" s="448" t="s">
        <v>438</v>
      </c>
      <c r="D107" s="449">
        <v>98248.66</v>
      </c>
      <c r="E107" s="449">
        <v>98248.66</v>
      </c>
      <c r="F107" s="451">
        <f t="shared" si="5"/>
        <v>0</v>
      </c>
      <c r="G107" s="449">
        <v>0</v>
      </c>
      <c r="H107" s="449">
        <v>0</v>
      </c>
      <c r="I107" s="449">
        <v>0</v>
      </c>
      <c r="J107" s="449">
        <v>0</v>
      </c>
      <c r="K107" s="449">
        <v>98248.66</v>
      </c>
      <c r="L107" s="448"/>
      <c r="M107" s="452">
        <v>0</v>
      </c>
      <c r="N107" s="453" t="s">
        <v>424</v>
      </c>
      <c r="O107" s="453" t="s">
        <v>424</v>
      </c>
      <c r="P107" s="454" t="s">
        <v>88</v>
      </c>
      <c r="Q107" s="418"/>
      <c r="R107" s="418"/>
      <c r="S107" s="418"/>
    </row>
    <row r="108" spans="1:19">
      <c r="A108" s="448" t="s">
        <v>252</v>
      </c>
      <c r="B108" s="448" t="s">
        <v>439</v>
      </c>
      <c r="C108" s="448" t="s">
        <v>440</v>
      </c>
      <c r="D108" s="449">
        <v>3049.98</v>
      </c>
      <c r="E108" s="449">
        <v>3049.98</v>
      </c>
      <c r="F108" s="451">
        <f t="shared" si="5"/>
        <v>0</v>
      </c>
      <c r="G108" s="449">
        <v>0</v>
      </c>
      <c r="H108" s="449">
        <v>0</v>
      </c>
      <c r="I108" s="449">
        <v>0</v>
      </c>
      <c r="J108" s="449">
        <v>0</v>
      </c>
      <c r="K108" s="449">
        <v>3049.98</v>
      </c>
      <c r="L108" s="448"/>
      <c r="M108" s="452">
        <v>0</v>
      </c>
      <c r="N108" s="453" t="s">
        <v>441</v>
      </c>
      <c r="O108" s="453" t="s">
        <v>441</v>
      </c>
      <c r="P108" s="455" t="s">
        <v>88</v>
      </c>
      <c r="Q108" s="418"/>
      <c r="R108" s="418"/>
      <c r="S108" s="418"/>
    </row>
    <row r="109" s="70" customFormat="1" spans="1:19">
      <c r="A109" s="456" t="s">
        <v>237</v>
      </c>
      <c r="B109" s="456" t="s">
        <v>442</v>
      </c>
      <c r="C109" s="456" t="s">
        <v>443</v>
      </c>
      <c r="D109" s="457">
        <v>114247.51</v>
      </c>
      <c r="E109" s="457">
        <v>114247.51</v>
      </c>
      <c r="F109" s="458">
        <f t="shared" si="5"/>
        <v>0</v>
      </c>
      <c r="G109" s="457">
        <v>0</v>
      </c>
      <c r="H109" s="457">
        <v>0</v>
      </c>
      <c r="I109" s="457">
        <v>0</v>
      </c>
      <c r="J109" s="457">
        <v>0</v>
      </c>
      <c r="K109" s="457">
        <v>114247.51</v>
      </c>
      <c r="L109" s="456"/>
      <c r="M109" s="459">
        <v>0</v>
      </c>
      <c r="N109" s="460" t="s">
        <v>444</v>
      </c>
      <c r="O109" s="460" t="s">
        <v>444</v>
      </c>
      <c r="P109" s="461" t="s">
        <v>88</v>
      </c>
      <c r="Q109" s="418"/>
      <c r="R109" s="418"/>
      <c r="S109" s="418"/>
    </row>
    <row r="110" s="70" customFormat="1" spans="1:19">
      <c r="A110" s="456" t="s">
        <v>237</v>
      </c>
      <c r="B110" s="456" t="s">
        <v>445</v>
      </c>
      <c r="C110" s="456" t="s">
        <v>446</v>
      </c>
      <c r="D110" s="457">
        <v>93157.92</v>
      </c>
      <c r="E110" s="457">
        <v>93157.92</v>
      </c>
      <c r="F110" s="458">
        <f t="shared" si="5"/>
        <v>0</v>
      </c>
      <c r="G110" s="457">
        <v>0</v>
      </c>
      <c r="H110" s="457">
        <v>0</v>
      </c>
      <c r="I110" s="457">
        <v>0</v>
      </c>
      <c r="J110" s="457">
        <v>0</v>
      </c>
      <c r="K110" s="457">
        <v>93157.92</v>
      </c>
      <c r="L110" s="456"/>
      <c r="M110" s="459">
        <v>0</v>
      </c>
      <c r="N110" s="462" t="s">
        <v>447</v>
      </c>
      <c r="O110" s="462" t="s">
        <v>447</v>
      </c>
      <c r="P110" s="461" t="s">
        <v>88</v>
      </c>
      <c r="Q110" s="418"/>
      <c r="R110" s="418"/>
      <c r="S110" s="418"/>
    </row>
    <row r="111" s="70" customFormat="1" spans="1:19">
      <c r="A111" s="456" t="s">
        <v>448</v>
      </c>
      <c r="B111" s="456" t="s">
        <v>449</v>
      </c>
      <c r="C111" s="456" t="s">
        <v>450</v>
      </c>
      <c r="D111" s="457">
        <v>115291.93</v>
      </c>
      <c r="E111" s="457">
        <v>115291.93</v>
      </c>
      <c r="F111" s="458">
        <f t="shared" si="5"/>
        <v>0</v>
      </c>
      <c r="G111" s="457">
        <v>0</v>
      </c>
      <c r="H111" s="457">
        <v>0</v>
      </c>
      <c r="I111" s="457">
        <v>0</v>
      </c>
      <c r="J111" s="457"/>
      <c r="K111" s="457">
        <v>115291.93</v>
      </c>
      <c r="L111" s="456"/>
      <c r="M111" s="459">
        <v>0</v>
      </c>
      <c r="N111" s="462" t="s">
        <v>447</v>
      </c>
      <c r="O111" s="462" t="s">
        <v>447</v>
      </c>
      <c r="P111" s="461" t="s">
        <v>88</v>
      </c>
      <c r="Q111" s="418"/>
      <c r="R111" s="418"/>
      <c r="S111" s="418"/>
    </row>
    <row r="112" spans="1:19">
      <c r="E112" s="379"/>
      <c r="S112" s="463"/>
    </row>
    <row r="113" s="346" customFormat="1" ht="24.75" customHeight="1" spans="1:19">
      <c r="A113" s="34"/>
      <c r="B113" s="34"/>
      <c r="C113" s="34"/>
      <c r="D113" s="464">
        <f t="shared" ref="D113:M113" si="6">SUM(D12:D111)</f>
        <v>1350180.4</v>
      </c>
      <c r="E113" s="464">
        <f t="shared" si="6"/>
        <v>1190153.62</v>
      </c>
      <c r="F113" s="464">
        <f t="shared" si="6"/>
        <v>160026.78</v>
      </c>
      <c r="G113" s="464">
        <f t="shared" si="6"/>
        <v>867430.61</v>
      </c>
      <c r="H113" s="464">
        <f t="shared" si="6"/>
        <v>0</v>
      </c>
      <c r="I113" s="464">
        <f t="shared" si="6"/>
        <v>0</v>
      </c>
      <c r="J113" s="464">
        <f t="shared" si="6"/>
        <v>0</v>
      </c>
      <c r="K113" s="464">
        <f t="shared" si="6"/>
        <v>482749.79</v>
      </c>
      <c r="L113" s="465">
        <f t="shared" si="6"/>
        <v>18108</v>
      </c>
      <c r="M113" s="465">
        <f t="shared" si="6"/>
        <v>16652</v>
      </c>
      <c r="N113" s="466"/>
      <c r="O113" s="467"/>
      <c r="P113" s="468"/>
      <c r="S113" s="463"/>
    </row>
    <row r="114" ht="15.15" spans="1:19">
      <c r="E114" s="469"/>
      <c r="F114" s="470"/>
      <c r="S114" s="463"/>
    </row>
    <row r="115" spans="1:19">
      <c r="D115" s="471">
        <f>D113-D3</f>
        <v>0</v>
      </c>
      <c r="E115" s="379"/>
      <c r="S115" s="463"/>
    </row>
    <row r="116" spans="1:19">
      <c r="D116" s="472"/>
      <c r="E116" s="379"/>
      <c r="G116" s="385"/>
      <c r="H116" s="384"/>
      <c r="I116" s="384"/>
      <c r="J116" s="384"/>
      <c r="K116" s="472">
        <f>K113-I3</f>
        <v>0</v>
      </c>
      <c r="S116" s="463"/>
    </row>
    <row r="117" spans="1:19">
      <c r="D117" s="471"/>
      <c r="E117" s="379"/>
      <c r="S117" s="463"/>
    </row>
    <row r="118" spans="1:19">
      <c r="D118" s="471"/>
      <c r="E118" s="379"/>
    </row>
    <row r="119" spans="1:19">
      <c r="D119" s="471"/>
      <c r="E119" s="379"/>
    </row>
    <row r="120" spans="1:19">
      <c r="D120" s="471"/>
      <c r="E120" s="379"/>
    </row>
    <row r="121" spans="1:19">
      <c r="D121" s="471"/>
      <c r="E121" s="379"/>
    </row>
    <row r="122" spans="1:19">
      <c r="D122" s="471"/>
      <c r="E122" s="379"/>
    </row>
    <row r="123" spans="1:19">
      <c r="D123" s="471"/>
      <c r="E123" s="379"/>
    </row>
    <row r="124" spans="1:19">
      <c r="D124" s="471"/>
      <c r="E124" s="379"/>
    </row>
    <row r="125" spans="1:19">
      <c r="D125" s="471"/>
      <c r="E125" s="379"/>
    </row>
    <row r="126" spans="1:19">
      <c r="D126" s="471"/>
      <c r="E126" s="379"/>
    </row>
    <row r="127" spans="1:19">
      <c r="D127" s="471"/>
      <c r="E127" s="379"/>
    </row>
    <row r="128" spans="1:19">
      <c r="D128" s="471"/>
      <c r="E128" s="379"/>
    </row>
    <row r="129" spans="4:5">
      <c r="D129" s="471"/>
      <c r="E129" s="379"/>
    </row>
    <row r="130" spans="4:5">
      <c r="D130" s="471"/>
      <c r="E130" s="379"/>
    </row>
    <row r="131" spans="4:5">
      <c r="D131" s="471"/>
      <c r="E131" s="379"/>
    </row>
    <row r="132" spans="4:5">
      <c r="D132" s="471"/>
      <c r="E132" s="379"/>
    </row>
    <row r="133" spans="4:5">
      <c r="D133" s="471"/>
      <c r="E133" s="379"/>
    </row>
    <row r="134" spans="4:5">
      <c r="D134" s="471"/>
      <c r="E134" s="379"/>
    </row>
    <row r="135" spans="4:5">
      <c r="D135" s="471"/>
      <c r="E135" s="379"/>
    </row>
    <row r="136" spans="4:5">
      <c r="D136" s="471"/>
      <c r="E136" s="379"/>
    </row>
    <row r="137" spans="4:5">
      <c r="D137" s="471"/>
      <c r="E137" s="379"/>
    </row>
    <row r="138" spans="4:5">
      <c r="D138" s="471"/>
      <c r="E138" s="379"/>
    </row>
    <row r="139" spans="4:5">
      <c r="D139" s="471"/>
      <c r="E139" s="379"/>
    </row>
    <row r="140" spans="4:5">
      <c r="D140" s="471"/>
      <c r="E140" s="379"/>
    </row>
    <row r="141" spans="4:5">
      <c r="D141" s="471"/>
      <c r="E141" s="379"/>
    </row>
    <row r="142" spans="4:5">
      <c r="D142" s="471"/>
      <c r="E142" s="379"/>
    </row>
    <row r="143" spans="4:5">
      <c r="D143" s="471"/>
      <c r="E143" s="379"/>
    </row>
    <row r="144" spans="4:5">
      <c r="D144" s="471"/>
      <c r="E144" s="379"/>
    </row>
    <row r="145" spans="4:5">
      <c r="D145" s="471"/>
      <c r="E145" s="379"/>
    </row>
    <row r="146" spans="4:5">
      <c r="D146" s="471"/>
      <c r="E146" s="379"/>
    </row>
    <row r="147" spans="4:5">
      <c r="D147" s="471"/>
      <c r="E147" s="379"/>
    </row>
    <row r="148" spans="4:5">
      <c r="D148" s="471"/>
      <c r="E148" s="379"/>
    </row>
    <row r="149" spans="4:5">
      <c r="D149" s="471"/>
      <c r="E149" s="379"/>
    </row>
    <row r="150" spans="4:5">
      <c r="D150" s="471"/>
      <c r="E150" s="379"/>
    </row>
    <row r="151" spans="4:5">
      <c r="D151" s="471"/>
      <c r="E151" s="379"/>
    </row>
    <row r="152" spans="4:5">
      <c r="D152" s="471"/>
      <c r="E152" s="379"/>
    </row>
    <row r="153" spans="4:5">
      <c r="D153" s="471"/>
      <c r="E153" s="379"/>
    </row>
    <row r="154" spans="4:5">
      <c r="D154" s="471"/>
      <c r="E154" s="379"/>
    </row>
    <row r="155" spans="4:5">
      <c r="D155" s="471"/>
      <c r="E155" s="379"/>
    </row>
    <row r="156" spans="4:5">
      <c r="D156" s="471"/>
      <c r="E156" s="379"/>
    </row>
    <row r="157" spans="4:5">
      <c r="D157" s="471"/>
      <c r="E157" s="379"/>
    </row>
    <row r="158" spans="4:5">
      <c r="D158" s="471"/>
      <c r="E158" s="379"/>
    </row>
    <row r="159" spans="4:5">
      <c r="D159" s="471"/>
      <c r="E159" s="379"/>
    </row>
    <row r="160" spans="4:5">
      <c r="D160" s="471"/>
      <c r="E160" s="379"/>
    </row>
    <row r="161" spans="4:5">
      <c r="D161" s="471"/>
      <c r="E161" s="379"/>
    </row>
    <row r="162" spans="4:5">
      <c r="D162" s="471"/>
      <c r="E162" s="379"/>
    </row>
    <row r="163" spans="4:5">
      <c r="D163" s="471"/>
      <c r="E163" s="379"/>
    </row>
    <row r="164" spans="4:5">
      <c r="D164" s="471"/>
      <c r="E164" s="379"/>
    </row>
  </sheetData>
  <mergeCells count="21">
    <mergeCell ref="G9:K9"/>
    <mergeCell ref="A10:A11"/>
    <mergeCell ref="B10:B11"/>
    <mergeCell ref="C1:C2"/>
    <mergeCell ref="C10:C11"/>
    <mergeCell ref="D10:D11"/>
    <mergeCell ref="E10:E11"/>
    <mergeCell ref="F10:F11"/>
    <mergeCell ref="G10:G11"/>
    <mergeCell ref="H10:H11"/>
    <mergeCell ref="I10:I11"/>
    <mergeCell ref="J10:J11"/>
    <mergeCell ref="K10:K11"/>
    <mergeCell ref="L10:L11"/>
    <mergeCell ref="M10:M11"/>
    <mergeCell ref="N10:N11"/>
    <mergeCell ref="O10:O11"/>
    <mergeCell ref="P10:P11"/>
    <mergeCell ref="Q10:Q11"/>
    <mergeCell ref="R10:R11"/>
    <mergeCell ref="S10:S11"/>
  </mergeCells>
  <conditionalFormatting sqref="D5:I5">
    <cfRule type="cellIs" dxfId="0" priority="3" operator="lessThan">
      <formula>0</formula>
    </cfRule>
    <cfRule type="cellIs" dxfId="1" priority="4" operator="greaterThan">
      <formula>0</formula>
    </cfRule>
  </conditionalFormatting>
  <pageMargins left="0.7" right="0.7" top="0.75" bottom="0.75" header="0.3" footer="0.3"/>
  <pageSetup paperSize="9" orientation="landscape"/>
  <headerFooter>
    <oddFooter>&amp;L&amp;1#&amp;"Calibri"&amp;10&amp;K000000John Keells Group - Confidential</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799432355723746"/>
  </sheetPr>
  <dimension ref="A1:P64"/>
  <sheetViews>
    <sheetView workbookViewId="0">
      <selection activeCell="E10" sqref="E10"/>
    </sheetView>
  </sheetViews>
  <sheetFormatPr defaultColWidth="9.12037037037037" defaultRowHeight="14.4"/>
  <cols>
    <col min="1" max="2" width="7.75" style="2" customWidth="1"/>
    <col min="3" max="3" width="17.75" style="2" customWidth="1"/>
    <col min="4" max="4" width="12.8796296296296" style="3" customWidth="1"/>
    <col min="5" max="5" width="14.1203703703704" style="317" customWidth="1"/>
    <col min="6" max="6" width="13.6296296296296" style="3" customWidth="1"/>
    <col min="7" max="7" width="13.8796296296296" style="3" customWidth="1"/>
    <col min="8" max="10" width="12.1203703703704" style="3" customWidth="1"/>
    <col min="11" max="11" width="12.25" style="3" customWidth="1"/>
    <col min="12" max="12" width="12.1203703703704" style="3" customWidth="1"/>
    <col min="13" max="13" width="11.75" style="3" customWidth="1"/>
    <col min="14" max="14" width="40.8796296296296" style="4" customWidth="1"/>
    <col min="15" max="15" width="66.25" style="86" customWidth="1"/>
    <col min="16" max="16" width="16.3703703703704" style="2" customWidth="1"/>
    <col min="17" max="16384" width="9.12037037037037" style="2"/>
  </cols>
  <sheetData>
    <row r="1" ht="18.75" spans="1:16">
      <c r="A1" s="5"/>
      <c r="C1" s="262" t="s">
        <v>133</v>
      </c>
      <c r="D1" s="262" t="s">
        <v>134</v>
      </c>
      <c r="E1" s="206" t="s">
        <v>135</v>
      </c>
      <c r="F1" s="206"/>
      <c r="G1" s="206"/>
      <c r="H1" s="206"/>
      <c r="I1" s="207"/>
      <c r="J1" s="10"/>
      <c r="K1" s="10"/>
      <c r="L1" s="10"/>
      <c r="M1" s="10"/>
    </row>
    <row r="2" ht="15.6" spans="1:16">
      <c r="A2" s="11" t="s">
        <v>451</v>
      </c>
      <c r="C2" s="263"/>
      <c r="D2" s="13" t="s">
        <v>137</v>
      </c>
      <c r="E2" s="14" t="s">
        <v>138</v>
      </c>
      <c r="F2" s="15" t="s">
        <v>139</v>
      </c>
      <c r="G2" s="15" t="s">
        <v>140</v>
      </c>
      <c r="H2" s="15" t="s">
        <v>141</v>
      </c>
      <c r="I2" s="16" t="s">
        <v>142</v>
      </c>
      <c r="J2" s="10"/>
      <c r="K2" s="10"/>
      <c r="L2" s="334" t="s">
        <v>452</v>
      </c>
      <c r="M2" s="10"/>
    </row>
    <row r="3" ht="15.6" spans="1:16">
      <c r="A3" s="11"/>
      <c r="C3" s="578" t="s">
        <v>143</v>
      </c>
      <c r="D3" s="66">
        <v>1263834.49</v>
      </c>
      <c r="E3" s="67">
        <v>488518.29</v>
      </c>
      <c r="F3" s="20">
        <v>49875.75</v>
      </c>
      <c r="G3" s="20">
        <v>5376.39</v>
      </c>
      <c r="H3" s="20">
        <v>10131.25</v>
      </c>
      <c r="I3" s="21">
        <v>709932.81</v>
      </c>
      <c r="J3" s="10"/>
      <c r="K3" s="10"/>
      <c r="L3" s="10"/>
      <c r="M3" s="10"/>
    </row>
    <row r="4" ht="15.6" spans="1:16">
      <c r="A4" s="11"/>
      <c r="C4" s="578" t="s">
        <v>144</v>
      </c>
      <c r="D4" s="66">
        <v>1390539.45</v>
      </c>
      <c r="E4" s="67">
        <v>629593.03</v>
      </c>
      <c r="F4" s="20">
        <v>19025.43</v>
      </c>
      <c r="G4" s="20">
        <v>7840.9</v>
      </c>
      <c r="H4" s="20">
        <v>10928.71</v>
      </c>
      <c r="I4" s="21">
        <v>723151.38</v>
      </c>
      <c r="J4" s="10"/>
      <c r="K4" s="10"/>
      <c r="L4" s="10"/>
      <c r="M4" s="10"/>
    </row>
    <row r="5" ht="16.35" spans="1:16">
      <c r="A5" s="11"/>
      <c r="C5" s="266" t="s">
        <v>145</v>
      </c>
      <c r="D5" s="211">
        <v>-126704.96</v>
      </c>
      <c r="E5" s="212">
        <v>-141074.740000001</v>
      </c>
      <c r="F5" s="25">
        <v>30850.32</v>
      </c>
      <c r="G5" s="25">
        <v>-2464.51</v>
      </c>
      <c r="H5" s="25">
        <v>-797.459999999997</v>
      </c>
      <c r="I5" s="26">
        <v>-13218.5699999999</v>
      </c>
      <c r="J5" s="10"/>
      <c r="K5" s="10"/>
      <c r="L5" s="10"/>
      <c r="M5" s="10"/>
    </row>
    <row r="6" ht="15.15" spans="1:16">
      <c r="A6" s="27"/>
      <c r="B6" s="27"/>
      <c r="C6" s="27"/>
      <c r="D6" s="28"/>
      <c r="E6" s="323"/>
      <c r="F6" s="28"/>
      <c r="G6" s="28"/>
      <c r="H6" s="28"/>
      <c r="I6" s="28"/>
      <c r="J6" s="28"/>
      <c r="K6" s="28"/>
      <c r="L6" s="28"/>
      <c r="M6" s="28"/>
      <c r="O6" s="87"/>
    </row>
    <row r="7" ht="14.45" customHeight="1" spans="1:16">
      <c r="A7" s="27"/>
      <c r="B7" s="27"/>
      <c r="C7" s="27"/>
      <c r="D7" s="29"/>
      <c r="E7" s="324"/>
      <c r="F7" s="30"/>
      <c r="G7" s="31" t="s">
        <v>146</v>
      </c>
      <c r="H7" s="32"/>
      <c r="I7" s="32"/>
      <c r="J7" s="32"/>
      <c r="K7" s="33"/>
      <c r="L7" s="34"/>
      <c r="M7" s="34"/>
      <c r="N7" s="35"/>
    </row>
    <row r="8" ht="24.6" customHeight="1" spans="1:16">
      <c r="A8" s="36" t="s">
        <v>147</v>
      </c>
      <c r="B8" s="36" t="s">
        <v>148</v>
      </c>
      <c r="C8" s="36" t="s">
        <v>149</v>
      </c>
      <c r="D8" s="37" t="s">
        <v>150</v>
      </c>
      <c r="E8" s="37" t="s">
        <v>151</v>
      </c>
      <c r="F8" s="37" t="s">
        <v>152</v>
      </c>
      <c r="G8" s="37" t="s">
        <v>153</v>
      </c>
      <c r="H8" s="37" t="s">
        <v>154</v>
      </c>
      <c r="I8" s="37" t="s">
        <v>155</v>
      </c>
      <c r="J8" s="37" t="s">
        <v>156</v>
      </c>
      <c r="K8" s="37" t="s">
        <v>157</v>
      </c>
      <c r="L8" s="36" t="s">
        <v>158</v>
      </c>
      <c r="M8" s="36" t="s">
        <v>159</v>
      </c>
      <c r="N8" s="38" t="s">
        <v>160</v>
      </c>
      <c r="O8" s="39" t="s">
        <v>161</v>
      </c>
      <c r="P8" s="39" t="s">
        <v>162</v>
      </c>
    </row>
    <row r="9" ht="31.5" customHeight="1" spans="1:16">
      <c r="A9" s="36"/>
      <c r="B9" s="36"/>
      <c r="C9" s="36"/>
      <c r="D9" s="37"/>
      <c r="E9" s="37"/>
      <c r="F9" s="37"/>
      <c r="G9" s="37"/>
      <c r="H9" s="37"/>
      <c r="I9" s="37"/>
      <c r="J9" s="37"/>
      <c r="K9" s="37"/>
      <c r="L9" s="36"/>
      <c r="M9" s="36"/>
      <c r="N9" s="38"/>
      <c r="O9" s="41"/>
      <c r="P9" s="41"/>
    </row>
    <row r="10" s="333" customFormat="1" spans="1:16">
      <c r="A10" s="335">
        <v>6099</v>
      </c>
      <c r="B10" s="335" t="s">
        <v>453</v>
      </c>
      <c r="C10" s="335" t="s">
        <v>113</v>
      </c>
      <c r="D10" s="91">
        <v>76955.5</v>
      </c>
      <c r="E10" s="91">
        <v>79078.5</v>
      </c>
      <c r="F10" s="336">
        <f t="shared" ref="F10:F41" si="0">D10-E10</f>
        <v>-2123</v>
      </c>
      <c r="G10" s="337">
        <v>0</v>
      </c>
      <c r="H10" s="337">
        <v>0</v>
      </c>
      <c r="I10" s="337">
        <v>0</v>
      </c>
      <c r="J10" s="337">
        <v>0</v>
      </c>
      <c r="K10" s="337">
        <v>76955.5</v>
      </c>
      <c r="L10" s="338">
        <v>24</v>
      </c>
      <c r="M10" s="338">
        <v>22</v>
      </c>
      <c r="N10" s="231" t="s">
        <v>454</v>
      </c>
      <c r="O10" s="93">
        <v>0</v>
      </c>
      <c r="P10" s="230">
        <v>0</v>
      </c>
    </row>
    <row r="11" s="1" customFormat="1" ht="28.8" spans="1:16">
      <c r="A11" s="335">
        <v>6610</v>
      </c>
      <c r="B11" s="335" t="s">
        <v>389</v>
      </c>
      <c r="C11" s="335" t="s">
        <v>105</v>
      </c>
      <c r="D11" s="91">
        <v>72854.91</v>
      </c>
      <c r="E11" s="91">
        <v>76232.41</v>
      </c>
      <c r="F11" s="336">
        <f t="shared" si="0"/>
        <v>-3377.5</v>
      </c>
      <c r="G11" s="337">
        <v>0</v>
      </c>
      <c r="H11" s="337">
        <v>0</v>
      </c>
      <c r="I11" s="337">
        <v>0</v>
      </c>
      <c r="J11" s="337">
        <v>0</v>
      </c>
      <c r="K11" s="337">
        <v>72854.91</v>
      </c>
      <c r="L11" s="338">
        <v>23</v>
      </c>
      <c r="M11" s="338">
        <v>35</v>
      </c>
      <c r="N11" s="231" t="s">
        <v>455</v>
      </c>
      <c r="O11" s="93">
        <v>0</v>
      </c>
      <c r="P11" s="230">
        <v>0</v>
      </c>
    </row>
    <row r="12" s="1" customFormat="1" ht="43.2" spans="1:16">
      <c r="A12" s="335">
        <v>6594</v>
      </c>
      <c r="B12" s="335" t="s">
        <v>456</v>
      </c>
      <c r="C12" s="335" t="s">
        <v>457</v>
      </c>
      <c r="D12" s="91">
        <v>68486.33</v>
      </c>
      <c r="E12" s="91">
        <v>67143.46</v>
      </c>
      <c r="F12" s="336">
        <f t="shared" si="0"/>
        <v>1342.87</v>
      </c>
      <c r="G12" s="337">
        <v>1342.87</v>
      </c>
      <c r="H12" s="337">
        <v>1316.54</v>
      </c>
      <c r="I12" s="337">
        <v>1442.97</v>
      </c>
      <c r="J12" s="337">
        <v>4772.18</v>
      </c>
      <c r="K12" s="337">
        <v>59611.77</v>
      </c>
      <c r="L12" s="338"/>
      <c r="M12" s="338"/>
      <c r="N12" s="231" t="s">
        <v>458</v>
      </c>
      <c r="O12" s="93">
        <v>0</v>
      </c>
      <c r="P12" s="230">
        <v>0</v>
      </c>
    </row>
    <row r="13" s="1" customFormat="1" ht="20.25" customHeight="1" spans="1:16">
      <c r="A13" s="335">
        <v>6597</v>
      </c>
      <c r="B13" s="335" t="s">
        <v>456</v>
      </c>
      <c r="C13" s="335" t="s">
        <v>101</v>
      </c>
      <c r="D13" s="91">
        <v>51227</v>
      </c>
      <c r="E13" s="91">
        <v>55834.5</v>
      </c>
      <c r="F13" s="336">
        <f t="shared" si="0"/>
        <v>-4607.5</v>
      </c>
      <c r="G13" s="337">
        <v>0</v>
      </c>
      <c r="H13" s="337">
        <v>0</v>
      </c>
      <c r="I13" s="337">
        <v>0</v>
      </c>
      <c r="J13" s="337">
        <v>0</v>
      </c>
      <c r="K13" s="337">
        <v>51227</v>
      </c>
      <c r="L13" s="338">
        <v>24</v>
      </c>
      <c r="M13" s="338">
        <v>50</v>
      </c>
      <c r="N13" s="231" t="s">
        <v>459</v>
      </c>
      <c r="O13" s="93">
        <v>0</v>
      </c>
      <c r="P13" s="230">
        <v>0</v>
      </c>
    </row>
    <row r="14" s="1" customFormat="1" ht="28.8" spans="1:16">
      <c r="A14" s="335">
        <v>6008</v>
      </c>
      <c r="B14" s="335" t="s">
        <v>456</v>
      </c>
      <c r="C14" s="335" t="s">
        <v>460</v>
      </c>
      <c r="D14" s="91">
        <v>48426.83</v>
      </c>
      <c r="E14" s="91">
        <v>48426.83</v>
      </c>
      <c r="F14" s="336">
        <f t="shared" si="0"/>
        <v>0</v>
      </c>
      <c r="G14" s="337">
        <v>0</v>
      </c>
      <c r="H14" s="337">
        <v>0</v>
      </c>
      <c r="I14" s="337">
        <v>0</v>
      </c>
      <c r="J14" s="337">
        <v>0</v>
      </c>
      <c r="K14" s="337">
        <v>48426.83</v>
      </c>
      <c r="L14" s="338">
        <v>44</v>
      </c>
      <c r="M14" s="338"/>
      <c r="N14" s="231" t="s">
        <v>461</v>
      </c>
      <c r="O14" s="93">
        <v>0</v>
      </c>
      <c r="P14" s="230">
        <v>0</v>
      </c>
    </row>
    <row r="15" s="1" customFormat="1" ht="20.25" customHeight="1" spans="1:16">
      <c r="A15" s="335">
        <v>6217</v>
      </c>
      <c r="B15" s="335" t="s">
        <v>462</v>
      </c>
      <c r="C15" s="335" t="s">
        <v>119</v>
      </c>
      <c r="D15" s="91">
        <v>34298.12</v>
      </c>
      <c r="E15" s="91">
        <v>34298.12</v>
      </c>
      <c r="F15" s="336">
        <f t="shared" si="0"/>
        <v>0</v>
      </c>
      <c r="G15" s="337">
        <v>0</v>
      </c>
      <c r="H15" s="337">
        <v>0</v>
      </c>
      <c r="I15" s="337">
        <v>0</v>
      </c>
      <c r="J15" s="337">
        <v>0</v>
      </c>
      <c r="K15" s="337">
        <v>34298.12</v>
      </c>
      <c r="L15" s="338"/>
      <c r="M15" s="338"/>
      <c r="N15" s="231" t="s">
        <v>463</v>
      </c>
      <c r="O15" s="93" t="s">
        <v>163</v>
      </c>
      <c r="P15" s="230">
        <v>0</v>
      </c>
    </row>
    <row r="16" s="1" customFormat="1" spans="1:16">
      <c r="A16" s="335">
        <v>2210</v>
      </c>
      <c r="B16" s="335" t="s">
        <v>464</v>
      </c>
      <c r="C16" s="335" t="s">
        <v>465</v>
      </c>
      <c r="D16" s="91">
        <v>32121.41</v>
      </c>
      <c r="E16" s="91">
        <v>32059.41</v>
      </c>
      <c r="F16" s="336">
        <f t="shared" si="0"/>
        <v>62</v>
      </c>
      <c r="G16" s="337">
        <v>0</v>
      </c>
      <c r="H16" s="337">
        <v>0</v>
      </c>
      <c r="I16" s="337">
        <v>0</v>
      </c>
      <c r="J16" s="337">
        <v>0</v>
      </c>
      <c r="K16" s="337">
        <v>32121.41</v>
      </c>
      <c r="L16" s="338"/>
      <c r="M16" s="338"/>
      <c r="N16" s="231" t="s">
        <v>454</v>
      </c>
      <c r="O16" s="93">
        <v>0</v>
      </c>
      <c r="P16" s="230">
        <v>0</v>
      </c>
    </row>
    <row r="17" s="1" customFormat="1" ht="20.25" customHeight="1" spans="1:16">
      <c r="A17" s="335">
        <v>6514</v>
      </c>
      <c r="B17" s="335" t="s">
        <v>389</v>
      </c>
      <c r="C17" s="335" t="s">
        <v>466</v>
      </c>
      <c r="D17" s="91">
        <v>30934</v>
      </c>
      <c r="E17" s="91">
        <v>30934</v>
      </c>
      <c r="F17" s="336">
        <f t="shared" si="0"/>
        <v>0</v>
      </c>
      <c r="G17" s="337">
        <v>0</v>
      </c>
      <c r="H17" s="337">
        <v>0</v>
      </c>
      <c r="I17" s="337">
        <v>0</v>
      </c>
      <c r="J17" s="337">
        <v>0</v>
      </c>
      <c r="K17" s="337">
        <v>30934</v>
      </c>
      <c r="L17" s="338"/>
      <c r="M17" s="338"/>
      <c r="N17" s="231" t="s">
        <v>454</v>
      </c>
      <c r="O17" s="93">
        <v>0</v>
      </c>
      <c r="P17" s="230">
        <v>0</v>
      </c>
    </row>
    <row r="18" s="1" customFormat="1" ht="20.25" customHeight="1" spans="1:16">
      <c r="A18" s="335">
        <v>6044</v>
      </c>
      <c r="B18" s="335" t="s">
        <v>467</v>
      </c>
      <c r="C18" s="335" t="s">
        <v>125</v>
      </c>
      <c r="D18" s="91">
        <v>19333.35</v>
      </c>
      <c r="E18" s="91">
        <v>19333.35</v>
      </c>
      <c r="F18" s="336">
        <f t="shared" si="0"/>
        <v>0</v>
      </c>
      <c r="G18" s="337">
        <v>0</v>
      </c>
      <c r="H18" s="337">
        <v>0</v>
      </c>
      <c r="I18" s="337">
        <v>0</v>
      </c>
      <c r="J18" s="337">
        <v>0</v>
      </c>
      <c r="K18" s="337">
        <v>19333.35</v>
      </c>
      <c r="L18" s="338"/>
      <c r="M18" s="338"/>
      <c r="N18" s="231" t="s">
        <v>468</v>
      </c>
      <c r="O18" s="93">
        <v>0</v>
      </c>
      <c r="P18" s="230">
        <v>0</v>
      </c>
    </row>
    <row r="19" s="1" customFormat="1" ht="30.6" customHeight="1" spans="1:16">
      <c r="A19" s="335">
        <v>3003</v>
      </c>
      <c r="B19" s="335" t="s">
        <v>464</v>
      </c>
      <c r="C19" s="335" t="s">
        <v>121</v>
      </c>
      <c r="D19" s="91">
        <v>18489.99</v>
      </c>
      <c r="E19" s="91">
        <v>18489.99</v>
      </c>
      <c r="F19" s="336">
        <f t="shared" si="0"/>
        <v>0</v>
      </c>
      <c r="G19" s="337">
        <v>0</v>
      </c>
      <c r="H19" s="337">
        <v>0</v>
      </c>
      <c r="I19" s="337">
        <v>0</v>
      </c>
      <c r="J19" s="337">
        <v>0</v>
      </c>
      <c r="K19" s="337">
        <v>18489.99</v>
      </c>
      <c r="L19" s="338">
        <v>17</v>
      </c>
      <c r="M19" s="338"/>
      <c r="N19" s="231" t="s">
        <v>469</v>
      </c>
      <c r="O19" s="93" t="s">
        <v>163</v>
      </c>
      <c r="P19" s="230">
        <v>0</v>
      </c>
    </row>
    <row r="20" s="1" customFormat="1" ht="20.25" customHeight="1" spans="1:16">
      <c r="A20" s="335">
        <v>1302</v>
      </c>
      <c r="B20" s="335" t="s">
        <v>470</v>
      </c>
      <c r="C20" s="335" t="s">
        <v>127</v>
      </c>
      <c r="D20" s="91">
        <v>17378</v>
      </c>
      <c r="E20" s="91">
        <v>17378</v>
      </c>
      <c r="F20" s="336">
        <f t="shared" si="0"/>
        <v>0</v>
      </c>
      <c r="G20" s="337">
        <v>0</v>
      </c>
      <c r="H20" s="337">
        <v>0</v>
      </c>
      <c r="I20" s="337">
        <v>0</v>
      </c>
      <c r="J20" s="337">
        <v>0</v>
      </c>
      <c r="K20" s="337">
        <v>17378</v>
      </c>
      <c r="L20" s="338"/>
      <c r="M20" s="338"/>
      <c r="N20" s="231" t="s">
        <v>471</v>
      </c>
      <c r="O20" s="93">
        <v>0</v>
      </c>
      <c r="P20" s="230">
        <v>0</v>
      </c>
    </row>
    <row r="21" s="1" customFormat="1" ht="20.25" customHeight="1" spans="1:16">
      <c r="A21" s="339">
        <v>6111</v>
      </c>
      <c r="B21" s="339" t="s">
        <v>467</v>
      </c>
      <c r="C21" s="340" t="s">
        <v>129</v>
      </c>
      <c r="D21" s="91">
        <v>16282.6</v>
      </c>
      <c r="E21" s="91">
        <v>16282.6</v>
      </c>
      <c r="F21" s="336">
        <f t="shared" si="0"/>
        <v>0</v>
      </c>
      <c r="G21" s="337">
        <v>0</v>
      </c>
      <c r="H21" s="337">
        <v>0</v>
      </c>
      <c r="I21" s="337">
        <v>0</v>
      </c>
      <c r="J21" s="337">
        <v>0</v>
      </c>
      <c r="K21" s="337">
        <v>16282.6</v>
      </c>
      <c r="L21" s="338"/>
      <c r="M21" s="338"/>
      <c r="N21" s="231" t="s">
        <v>468</v>
      </c>
      <c r="O21" s="93">
        <v>0</v>
      </c>
      <c r="P21" s="230">
        <v>0</v>
      </c>
    </row>
    <row r="22" s="1" customFormat="1" ht="20.25" customHeight="1" spans="1:16">
      <c r="A22" s="335">
        <v>2391</v>
      </c>
      <c r="B22" s="335" t="s">
        <v>472</v>
      </c>
      <c r="C22" s="335" t="s">
        <v>473</v>
      </c>
      <c r="D22" s="91">
        <v>15385.32</v>
      </c>
      <c r="E22" s="91">
        <v>15385.32</v>
      </c>
      <c r="F22" s="336">
        <f t="shared" si="0"/>
        <v>0</v>
      </c>
      <c r="G22" s="337">
        <v>0</v>
      </c>
      <c r="H22" s="337">
        <v>0</v>
      </c>
      <c r="I22" s="337">
        <v>0</v>
      </c>
      <c r="J22" s="337">
        <v>0</v>
      </c>
      <c r="K22" s="337">
        <v>15385.32</v>
      </c>
      <c r="L22" s="338"/>
      <c r="M22" s="338"/>
      <c r="N22" s="231" t="s">
        <v>454</v>
      </c>
      <c r="O22" s="93">
        <v>0</v>
      </c>
      <c r="P22" s="230">
        <v>0</v>
      </c>
    </row>
    <row r="23" s="1" customFormat="1" ht="20.25" customHeight="1" spans="1:16">
      <c r="A23" s="335">
        <v>2342</v>
      </c>
      <c r="B23" s="335" t="s">
        <v>276</v>
      </c>
      <c r="C23" s="335" t="s">
        <v>474</v>
      </c>
      <c r="D23" s="91">
        <v>10151.63</v>
      </c>
      <c r="E23" s="91">
        <v>10151.63</v>
      </c>
      <c r="F23" s="336">
        <f t="shared" si="0"/>
        <v>0</v>
      </c>
      <c r="G23" s="337">
        <v>0</v>
      </c>
      <c r="H23" s="337">
        <v>0</v>
      </c>
      <c r="I23" s="337">
        <v>0</v>
      </c>
      <c r="J23" s="337">
        <v>0</v>
      </c>
      <c r="K23" s="337">
        <v>10151.63</v>
      </c>
      <c r="L23" s="338"/>
      <c r="M23" s="338"/>
      <c r="N23" s="231" t="s">
        <v>454</v>
      </c>
      <c r="O23" s="93">
        <v>0</v>
      </c>
      <c r="P23" s="230">
        <v>0</v>
      </c>
    </row>
    <row r="24" s="1" customFormat="1" ht="20.25" customHeight="1" spans="1:16">
      <c r="A24" s="335">
        <v>6551</v>
      </c>
      <c r="B24" s="335" t="s">
        <v>453</v>
      </c>
      <c r="C24" s="335" t="s">
        <v>475</v>
      </c>
      <c r="D24" s="91">
        <v>9389.3</v>
      </c>
      <c r="E24" s="91">
        <v>9389.3</v>
      </c>
      <c r="F24" s="336">
        <f t="shared" si="0"/>
        <v>0</v>
      </c>
      <c r="G24" s="337">
        <v>0</v>
      </c>
      <c r="H24" s="337">
        <v>0</v>
      </c>
      <c r="I24" s="337">
        <v>0</v>
      </c>
      <c r="J24" s="337">
        <v>0</v>
      </c>
      <c r="K24" s="337">
        <v>9389.3</v>
      </c>
      <c r="L24" s="338"/>
      <c r="M24" s="338"/>
      <c r="N24" s="231" t="s">
        <v>454</v>
      </c>
      <c r="O24" s="93">
        <v>0</v>
      </c>
      <c r="P24" s="230">
        <v>0</v>
      </c>
    </row>
    <row r="25" s="1" customFormat="1" ht="20.25" customHeight="1" spans="1:16">
      <c r="A25" s="335">
        <v>1824</v>
      </c>
      <c r="B25" s="335" t="s">
        <v>476</v>
      </c>
      <c r="C25" s="335" t="s">
        <v>477</v>
      </c>
      <c r="D25" s="91">
        <v>9340.8</v>
      </c>
      <c r="E25" s="91">
        <v>9340.8</v>
      </c>
      <c r="F25" s="336">
        <f t="shared" si="0"/>
        <v>0</v>
      </c>
      <c r="G25" s="337">
        <v>0</v>
      </c>
      <c r="H25" s="337">
        <v>0</v>
      </c>
      <c r="I25" s="337">
        <v>0</v>
      </c>
      <c r="J25" s="337">
        <v>0</v>
      </c>
      <c r="K25" s="337">
        <v>9340.8</v>
      </c>
      <c r="L25" s="338"/>
      <c r="M25" s="338"/>
      <c r="N25" s="231" t="s">
        <v>468</v>
      </c>
      <c r="O25" s="93">
        <v>0</v>
      </c>
      <c r="P25" s="230">
        <v>0</v>
      </c>
    </row>
    <row r="26" s="1" customFormat="1" ht="20.25" customHeight="1" spans="1:16">
      <c r="A26" s="335">
        <v>6538</v>
      </c>
      <c r="B26" s="335" t="s">
        <v>389</v>
      </c>
      <c r="C26" s="335" t="s">
        <v>478</v>
      </c>
      <c r="D26" s="91">
        <v>8951.68</v>
      </c>
      <c r="E26" s="91">
        <v>8951.68</v>
      </c>
      <c r="F26" s="336">
        <f t="shared" si="0"/>
        <v>0</v>
      </c>
      <c r="G26" s="337">
        <v>0</v>
      </c>
      <c r="H26" s="337">
        <v>0</v>
      </c>
      <c r="I26" s="337">
        <v>0</v>
      </c>
      <c r="J26" s="337">
        <v>0</v>
      </c>
      <c r="K26" s="337">
        <v>8951.68</v>
      </c>
      <c r="L26" s="338"/>
      <c r="M26" s="338"/>
      <c r="N26" s="231" t="s">
        <v>479</v>
      </c>
      <c r="O26" s="93">
        <v>0</v>
      </c>
      <c r="P26" s="230">
        <v>0</v>
      </c>
    </row>
    <row r="27" s="1" customFormat="1" ht="20.25" customHeight="1" spans="1:16">
      <c r="A27" s="335">
        <v>6357</v>
      </c>
      <c r="B27" s="335" t="s">
        <v>480</v>
      </c>
      <c r="C27" s="335" t="s">
        <v>117</v>
      </c>
      <c r="D27" s="91">
        <v>8049.85</v>
      </c>
      <c r="E27" s="91">
        <v>9747.8</v>
      </c>
      <c r="F27" s="336">
        <f t="shared" si="0"/>
        <v>-1697.95</v>
      </c>
      <c r="G27" s="337">
        <v>0</v>
      </c>
      <c r="H27" s="337">
        <v>0</v>
      </c>
      <c r="I27" s="337">
        <v>0</v>
      </c>
      <c r="J27" s="337">
        <v>0</v>
      </c>
      <c r="K27" s="337">
        <v>8049.85</v>
      </c>
      <c r="L27" s="338"/>
      <c r="M27" s="338">
        <v>13</v>
      </c>
      <c r="N27" s="231" t="s">
        <v>454</v>
      </c>
      <c r="O27" s="93">
        <v>0</v>
      </c>
      <c r="P27" s="230">
        <v>0</v>
      </c>
    </row>
    <row r="28" s="1" customFormat="1" ht="20.25" customHeight="1" spans="1:16">
      <c r="A28" s="335">
        <v>6032</v>
      </c>
      <c r="B28" s="335" t="s">
        <v>481</v>
      </c>
      <c r="C28" s="335" t="s">
        <v>482</v>
      </c>
      <c r="D28" s="91">
        <v>7898.05</v>
      </c>
      <c r="E28" s="91">
        <v>7898.05</v>
      </c>
      <c r="F28" s="336">
        <f t="shared" si="0"/>
        <v>0</v>
      </c>
      <c r="G28" s="337">
        <v>0</v>
      </c>
      <c r="H28" s="337">
        <v>0</v>
      </c>
      <c r="I28" s="337">
        <v>0</v>
      </c>
      <c r="J28" s="337">
        <v>0</v>
      </c>
      <c r="K28" s="337">
        <v>7898.05</v>
      </c>
      <c r="L28" s="338"/>
      <c r="M28" s="338"/>
      <c r="N28" s="231" t="s">
        <v>468</v>
      </c>
      <c r="O28" s="93">
        <v>0</v>
      </c>
      <c r="P28" s="230">
        <v>0</v>
      </c>
    </row>
    <row r="29" s="1" customFormat="1" ht="20.25" customHeight="1" spans="1:16">
      <c r="A29" s="335">
        <v>6234</v>
      </c>
      <c r="B29" s="335" t="s">
        <v>483</v>
      </c>
      <c r="C29" s="335" t="s">
        <v>130</v>
      </c>
      <c r="D29" s="91">
        <v>7181.7</v>
      </c>
      <c r="E29" s="91">
        <v>7181.7</v>
      </c>
      <c r="F29" s="336">
        <f t="shared" si="0"/>
        <v>0</v>
      </c>
      <c r="G29" s="337">
        <v>0</v>
      </c>
      <c r="H29" s="337">
        <v>0</v>
      </c>
      <c r="I29" s="337">
        <v>0</v>
      </c>
      <c r="J29" s="337">
        <v>0</v>
      </c>
      <c r="K29" s="337">
        <v>7181.7</v>
      </c>
      <c r="L29" s="338"/>
      <c r="M29" s="338"/>
      <c r="N29" s="231" t="s">
        <v>454</v>
      </c>
      <c r="O29" s="93">
        <v>0</v>
      </c>
      <c r="P29" s="230">
        <v>0</v>
      </c>
    </row>
    <row r="30" s="1" customFormat="1" ht="20.25" customHeight="1" spans="1:16">
      <c r="A30" s="335">
        <v>6609</v>
      </c>
      <c r="B30" s="335" t="s">
        <v>484</v>
      </c>
      <c r="C30" s="335" t="s">
        <v>485</v>
      </c>
      <c r="D30" s="91">
        <v>6699.08</v>
      </c>
      <c r="E30" s="91">
        <v>6699.08</v>
      </c>
      <c r="F30" s="336">
        <f t="shared" si="0"/>
        <v>0</v>
      </c>
      <c r="G30" s="337">
        <v>0</v>
      </c>
      <c r="H30" s="337">
        <v>0</v>
      </c>
      <c r="I30" s="337">
        <v>0</v>
      </c>
      <c r="J30" s="337">
        <v>0</v>
      </c>
      <c r="K30" s="337">
        <v>6699.08</v>
      </c>
      <c r="L30" s="338"/>
      <c r="M30" s="338"/>
      <c r="N30" s="231" t="s">
        <v>454</v>
      </c>
      <c r="O30" s="93">
        <v>0</v>
      </c>
      <c r="P30" s="230">
        <v>0</v>
      </c>
    </row>
    <row r="31" s="1" customFormat="1" ht="20.25" customHeight="1" spans="1:16">
      <c r="A31" s="335">
        <v>6315</v>
      </c>
      <c r="B31" s="335" t="s">
        <v>480</v>
      </c>
      <c r="C31" s="335" t="s">
        <v>486</v>
      </c>
      <c r="D31" s="91">
        <v>3899.75</v>
      </c>
      <c r="E31" s="91">
        <v>0</v>
      </c>
      <c r="F31" s="336">
        <f t="shared" si="0"/>
        <v>3899.75</v>
      </c>
      <c r="G31" s="337">
        <v>0</v>
      </c>
      <c r="H31" s="337">
        <v>0</v>
      </c>
      <c r="I31" s="337">
        <v>0</v>
      </c>
      <c r="J31" s="337">
        <v>0</v>
      </c>
      <c r="K31" s="337">
        <v>3899.75</v>
      </c>
      <c r="L31" s="338">
        <v>268</v>
      </c>
      <c r="M31" s="338">
        <v>75</v>
      </c>
      <c r="N31" s="231" t="s">
        <v>454</v>
      </c>
      <c r="O31" s="93">
        <v>0</v>
      </c>
      <c r="P31" s="230">
        <v>0</v>
      </c>
    </row>
    <row r="32" s="1" customFormat="1" ht="20.25" customHeight="1" spans="1:16">
      <c r="A32" s="335">
        <v>6573</v>
      </c>
      <c r="B32" s="335" t="s">
        <v>453</v>
      </c>
      <c r="C32" s="335" t="s">
        <v>487</v>
      </c>
      <c r="D32" s="91">
        <v>5153.79</v>
      </c>
      <c r="E32" s="91">
        <v>5052.74</v>
      </c>
      <c r="F32" s="336">
        <f t="shared" si="0"/>
        <v>101.05</v>
      </c>
      <c r="G32" s="337">
        <v>101.05</v>
      </c>
      <c r="H32" s="337">
        <v>186.07</v>
      </c>
      <c r="I32" s="337">
        <v>150.3</v>
      </c>
      <c r="J32" s="337">
        <v>914.62</v>
      </c>
      <c r="K32" s="337">
        <v>3801.75</v>
      </c>
      <c r="L32" s="338">
        <v>29</v>
      </c>
      <c r="M32" s="338"/>
      <c r="N32" s="231" t="s">
        <v>488</v>
      </c>
      <c r="O32" s="93">
        <v>0</v>
      </c>
      <c r="P32" s="230">
        <v>31</v>
      </c>
    </row>
    <row r="33" s="1" customFormat="1" ht="20.25" customHeight="1" spans="1:16">
      <c r="A33" s="335">
        <v>6886</v>
      </c>
      <c r="B33" s="335" t="s">
        <v>389</v>
      </c>
      <c r="C33" s="335" t="s">
        <v>489</v>
      </c>
      <c r="D33" s="91">
        <v>4443.79</v>
      </c>
      <c r="E33" s="91">
        <v>5392.36</v>
      </c>
      <c r="F33" s="336">
        <f t="shared" si="0"/>
        <v>-948.57</v>
      </c>
      <c r="G33" s="337">
        <v>87.13</v>
      </c>
      <c r="H33" s="337">
        <v>105.73</v>
      </c>
      <c r="I33" s="337">
        <v>103.66</v>
      </c>
      <c r="J33" s="337">
        <v>414.29</v>
      </c>
      <c r="K33" s="337">
        <v>3732.98</v>
      </c>
      <c r="L33" s="338"/>
      <c r="M33" s="338"/>
      <c r="N33" s="231" t="s">
        <v>490</v>
      </c>
      <c r="O33" s="93">
        <v>0</v>
      </c>
      <c r="P33" s="230">
        <v>0</v>
      </c>
    </row>
    <row r="34" s="1" customFormat="1" ht="20.25" customHeight="1" spans="1:16">
      <c r="A34" s="339">
        <v>4641</v>
      </c>
      <c r="B34" s="339" t="s">
        <v>453</v>
      </c>
      <c r="C34" s="340" t="s">
        <v>491</v>
      </c>
      <c r="D34" s="91">
        <v>3196.05</v>
      </c>
      <c r="E34" s="91">
        <v>3133.38</v>
      </c>
      <c r="F34" s="336">
        <f t="shared" si="0"/>
        <v>62.6700000000001</v>
      </c>
      <c r="G34" s="337">
        <v>62.67</v>
      </c>
      <c r="H34" s="337">
        <v>100.44</v>
      </c>
      <c r="I34" s="337">
        <v>138.07</v>
      </c>
      <c r="J34" s="337">
        <v>340.55</v>
      </c>
      <c r="K34" s="337">
        <v>2554.32</v>
      </c>
      <c r="L34" s="338">
        <v>13</v>
      </c>
      <c r="M34" s="338"/>
      <c r="N34" s="231" t="s">
        <v>454</v>
      </c>
      <c r="O34" s="93">
        <v>0</v>
      </c>
      <c r="P34" s="230">
        <v>0</v>
      </c>
    </row>
    <row r="35" s="1" customFormat="1" ht="20.25" customHeight="1" spans="1:16">
      <c r="A35" s="335">
        <v>6852</v>
      </c>
      <c r="B35" s="335" t="s">
        <v>492</v>
      </c>
      <c r="C35" s="335" t="s">
        <v>493</v>
      </c>
      <c r="D35" s="91">
        <v>154.16</v>
      </c>
      <c r="E35" s="91">
        <v>151.14</v>
      </c>
      <c r="F35" s="336">
        <f t="shared" si="0"/>
        <v>3.02000000000001</v>
      </c>
      <c r="G35" s="337">
        <v>3.02</v>
      </c>
      <c r="H35" s="337">
        <v>2.96</v>
      </c>
      <c r="I35" s="337">
        <v>2.91</v>
      </c>
      <c r="J35" s="337">
        <v>8.38</v>
      </c>
      <c r="K35" s="337">
        <v>136.89</v>
      </c>
      <c r="L35" s="338"/>
      <c r="M35" s="338"/>
      <c r="N35" s="231" t="s">
        <v>454</v>
      </c>
      <c r="O35" s="93">
        <v>0</v>
      </c>
      <c r="P35" s="230">
        <v>0</v>
      </c>
    </row>
    <row r="36" s="1" customFormat="1" ht="20.25" customHeight="1" spans="1:16">
      <c r="A36" s="335">
        <v>6915</v>
      </c>
      <c r="B36" s="335" t="s">
        <v>453</v>
      </c>
      <c r="C36" s="335" t="s">
        <v>494</v>
      </c>
      <c r="D36" s="91">
        <v>1800.54</v>
      </c>
      <c r="E36" s="91">
        <v>1765.24</v>
      </c>
      <c r="F36" s="336">
        <f t="shared" si="0"/>
        <v>35.3</v>
      </c>
      <c r="G36" s="337">
        <v>35.3</v>
      </c>
      <c r="H36" s="337">
        <v>53.61</v>
      </c>
      <c r="I36" s="337">
        <v>111.51</v>
      </c>
      <c r="J36" s="337">
        <v>1600.12</v>
      </c>
      <c r="K36" s="337">
        <v>0</v>
      </c>
      <c r="L36" s="338">
        <v>19</v>
      </c>
      <c r="M36" s="338"/>
      <c r="N36" s="231" t="s">
        <v>454</v>
      </c>
      <c r="O36" s="93">
        <v>0</v>
      </c>
      <c r="P36" s="230">
        <v>0</v>
      </c>
    </row>
    <row r="37" s="1" customFormat="1" ht="20.25" customHeight="1" spans="1:16">
      <c r="A37" s="218">
        <v>1157</v>
      </c>
      <c r="B37" s="218" t="s">
        <v>495</v>
      </c>
      <c r="C37" s="218" t="s">
        <v>496</v>
      </c>
      <c r="D37" s="216">
        <v>4169.29</v>
      </c>
      <c r="E37" s="216">
        <v>2863.04</v>
      </c>
      <c r="F37" s="341">
        <f t="shared" si="0"/>
        <v>1306.25</v>
      </c>
      <c r="G37" s="342">
        <v>1306.25</v>
      </c>
      <c r="H37" s="342">
        <v>1294.74</v>
      </c>
      <c r="I37" s="342">
        <v>93.8</v>
      </c>
      <c r="J37" s="342">
        <v>1474.5</v>
      </c>
      <c r="K37" s="342">
        <v>0</v>
      </c>
      <c r="L37" s="277">
        <v>6</v>
      </c>
      <c r="M37" s="277"/>
      <c r="N37" s="343" t="s">
        <v>497</v>
      </c>
      <c r="O37" s="93">
        <v>0</v>
      </c>
      <c r="P37" s="230">
        <v>0</v>
      </c>
    </row>
    <row r="38" s="1" customFormat="1" ht="20.25" customHeight="1" spans="1:16">
      <c r="A38" s="339">
        <v>6492</v>
      </c>
      <c r="B38" s="339" t="s">
        <v>389</v>
      </c>
      <c r="C38" s="340" t="s">
        <v>498</v>
      </c>
      <c r="D38" s="91">
        <v>1610.31</v>
      </c>
      <c r="E38" s="91">
        <v>5868.74</v>
      </c>
      <c r="F38" s="336">
        <f t="shared" si="0"/>
        <v>-4258.43</v>
      </c>
      <c r="G38" s="337">
        <v>31.57</v>
      </c>
      <c r="H38" s="337">
        <v>471.57</v>
      </c>
      <c r="I38" s="337">
        <v>500.56</v>
      </c>
      <c r="J38" s="337">
        <v>606.61</v>
      </c>
      <c r="K38" s="337">
        <v>0</v>
      </c>
      <c r="L38" s="338">
        <v>20</v>
      </c>
      <c r="M38" s="338">
        <v>44</v>
      </c>
      <c r="N38" s="231" t="s">
        <v>454</v>
      </c>
      <c r="O38" s="93">
        <v>0</v>
      </c>
      <c r="P38" s="230">
        <v>0</v>
      </c>
    </row>
    <row r="39" s="1" customFormat="1" ht="20.25" customHeight="1" spans="1:16">
      <c r="A39" s="218">
        <v>6888</v>
      </c>
      <c r="B39" s="218" t="s">
        <v>480</v>
      </c>
      <c r="C39" s="218" t="s">
        <v>499</v>
      </c>
      <c r="D39" s="216">
        <v>3099.53</v>
      </c>
      <c r="E39" s="216">
        <v>6560.55</v>
      </c>
      <c r="F39" s="341">
        <f t="shared" si="0"/>
        <v>-3461.02</v>
      </c>
      <c r="G39" s="342">
        <v>99.53</v>
      </c>
      <c r="H39" s="342">
        <v>167.39</v>
      </c>
      <c r="I39" s="342">
        <v>2832.61</v>
      </c>
      <c r="J39" s="342">
        <v>0</v>
      </c>
      <c r="K39" s="342">
        <v>0</v>
      </c>
      <c r="L39" s="277"/>
      <c r="M39" s="277"/>
      <c r="N39" s="343" t="s">
        <v>500</v>
      </c>
      <c r="O39" s="344">
        <v>0</v>
      </c>
      <c r="P39" s="345">
        <v>0</v>
      </c>
    </row>
    <row r="40" s="1" customFormat="1" ht="43.2" spans="1:16">
      <c r="A40" s="335">
        <v>6895</v>
      </c>
      <c r="B40" s="335" t="s">
        <v>501</v>
      </c>
      <c r="C40" s="335" t="s">
        <v>502</v>
      </c>
      <c r="D40" s="91">
        <v>24733.6</v>
      </c>
      <c r="E40" s="91">
        <v>59064.63</v>
      </c>
      <c r="F40" s="336">
        <f t="shared" si="0"/>
        <v>-34331.03</v>
      </c>
      <c r="G40" s="337">
        <v>794.97</v>
      </c>
      <c r="H40" s="337">
        <v>23938.63</v>
      </c>
      <c r="I40" s="337">
        <v>0</v>
      </c>
      <c r="J40" s="337">
        <v>0</v>
      </c>
      <c r="K40" s="337">
        <v>0</v>
      </c>
      <c r="L40" s="338">
        <v>795</v>
      </c>
      <c r="M40" s="338">
        <v>364</v>
      </c>
      <c r="N40" s="231" t="s">
        <v>503</v>
      </c>
      <c r="O40" s="93">
        <v>0</v>
      </c>
      <c r="P40" s="230">
        <v>79</v>
      </c>
    </row>
    <row r="41" s="1" customFormat="1" ht="20.25" customHeight="1" spans="1:16">
      <c r="A41" s="335">
        <v>33</v>
      </c>
      <c r="B41" s="335" t="s">
        <v>495</v>
      </c>
      <c r="C41" s="335" t="s">
        <v>504</v>
      </c>
      <c r="D41" s="91">
        <v>18867.41</v>
      </c>
      <c r="E41" s="91">
        <v>46903.56</v>
      </c>
      <c r="F41" s="336">
        <f t="shared" si="0"/>
        <v>-28036.15</v>
      </c>
      <c r="G41" s="337">
        <v>11914.85</v>
      </c>
      <c r="H41" s="337">
        <v>6952.56</v>
      </c>
      <c r="I41" s="337">
        <v>0</v>
      </c>
      <c r="J41" s="337">
        <v>0</v>
      </c>
      <c r="K41" s="337">
        <v>0</v>
      </c>
      <c r="L41" s="338">
        <v>433</v>
      </c>
      <c r="M41" s="338">
        <v>414</v>
      </c>
      <c r="N41" s="231" t="s">
        <v>505</v>
      </c>
      <c r="O41" s="93">
        <v>0</v>
      </c>
      <c r="P41" s="230">
        <v>304</v>
      </c>
    </row>
    <row r="42" s="1" customFormat="1" ht="20.25" customHeight="1" spans="1:16">
      <c r="A42" s="335">
        <v>75</v>
      </c>
      <c r="B42" s="335" t="s">
        <v>506</v>
      </c>
      <c r="C42" s="335" t="s">
        <v>507</v>
      </c>
      <c r="D42" s="91">
        <v>4394.29</v>
      </c>
      <c r="E42" s="91">
        <v>4798.63</v>
      </c>
      <c r="F42" s="336">
        <f t="shared" ref="F42:F64" si="1">D42-E42</f>
        <v>-404.34</v>
      </c>
      <c r="G42" s="337">
        <v>1043.16</v>
      </c>
      <c r="H42" s="337">
        <v>3351.13</v>
      </c>
      <c r="I42" s="337">
        <v>0</v>
      </c>
      <c r="J42" s="337">
        <v>0</v>
      </c>
      <c r="K42" s="337">
        <v>0</v>
      </c>
      <c r="L42" s="338">
        <v>21</v>
      </c>
      <c r="M42" s="338">
        <v>15</v>
      </c>
      <c r="N42" s="231" t="s">
        <v>508</v>
      </c>
      <c r="O42" s="93">
        <v>0</v>
      </c>
      <c r="P42" s="230">
        <v>0</v>
      </c>
    </row>
    <row r="43" s="1" customFormat="1" ht="20.25" customHeight="1" spans="1:16">
      <c r="A43" s="335">
        <v>6909</v>
      </c>
      <c r="B43" s="335" t="s">
        <v>453</v>
      </c>
      <c r="C43" s="335" t="s">
        <v>509</v>
      </c>
      <c r="D43" s="91">
        <v>3422.17</v>
      </c>
      <c r="E43" s="91">
        <v>5647.07</v>
      </c>
      <c r="F43" s="336">
        <f t="shared" si="1"/>
        <v>-2224.9</v>
      </c>
      <c r="G43" s="337">
        <v>91.1</v>
      </c>
      <c r="H43" s="337">
        <v>3331.07</v>
      </c>
      <c r="I43" s="337">
        <v>0</v>
      </c>
      <c r="J43" s="337">
        <v>0</v>
      </c>
      <c r="K43" s="337">
        <v>0</v>
      </c>
      <c r="L43" s="338">
        <v>40</v>
      </c>
      <c r="M43" s="338">
        <v>24</v>
      </c>
      <c r="N43" s="231" t="s">
        <v>488</v>
      </c>
      <c r="O43" s="93">
        <v>0</v>
      </c>
      <c r="P43" s="230">
        <v>32</v>
      </c>
    </row>
    <row r="44" s="1" customFormat="1" ht="20.25" customHeight="1" spans="1:16">
      <c r="A44" s="335">
        <v>2582</v>
      </c>
      <c r="B44" s="335" t="s">
        <v>276</v>
      </c>
      <c r="C44" s="335" t="s">
        <v>510</v>
      </c>
      <c r="D44" s="91">
        <v>31453.87</v>
      </c>
      <c r="E44" s="91">
        <v>8103.98</v>
      </c>
      <c r="F44" s="336">
        <f t="shared" si="1"/>
        <v>23349.89</v>
      </c>
      <c r="G44" s="337">
        <v>31453.87</v>
      </c>
      <c r="H44" s="337">
        <v>0</v>
      </c>
      <c r="I44" s="337">
        <v>0</v>
      </c>
      <c r="J44" s="337">
        <v>0</v>
      </c>
      <c r="K44" s="337">
        <v>0</v>
      </c>
      <c r="L44" s="338">
        <v>348</v>
      </c>
      <c r="M44" s="338">
        <v>329</v>
      </c>
      <c r="N44" s="231" t="s">
        <v>488</v>
      </c>
      <c r="O44" s="93">
        <v>0</v>
      </c>
      <c r="P44" s="230">
        <v>278</v>
      </c>
    </row>
    <row r="45" s="1" customFormat="1" ht="20.25" customHeight="1" spans="1:16">
      <c r="A45" s="335">
        <v>93</v>
      </c>
      <c r="B45" s="335" t="s">
        <v>511</v>
      </c>
      <c r="C45" s="335" t="s">
        <v>99</v>
      </c>
      <c r="D45" s="91">
        <v>22783.12</v>
      </c>
      <c r="E45" s="91">
        <v>84124.89</v>
      </c>
      <c r="F45" s="336">
        <f t="shared" si="1"/>
        <v>-61341.77</v>
      </c>
      <c r="G45" s="337">
        <v>22783.12</v>
      </c>
      <c r="H45" s="337">
        <v>0</v>
      </c>
      <c r="I45" s="337">
        <v>0</v>
      </c>
      <c r="J45" s="337">
        <v>0</v>
      </c>
      <c r="K45" s="337">
        <v>0</v>
      </c>
      <c r="L45" s="338">
        <v>2417</v>
      </c>
      <c r="M45" s="338">
        <v>2001</v>
      </c>
      <c r="N45" s="231" t="s">
        <v>505</v>
      </c>
      <c r="O45" s="93">
        <v>0</v>
      </c>
      <c r="P45" s="230">
        <v>1248</v>
      </c>
    </row>
    <row r="46" s="1" customFormat="1" ht="20.25" customHeight="1" spans="1:16">
      <c r="A46" s="335">
        <v>285</v>
      </c>
      <c r="B46" s="335" t="s">
        <v>511</v>
      </c>
      <c r="C46" s="335" t="s">
        <v>512</v>
      </c>
      <c r="D46" s="91">
        <v>16245.23</v>
      </c>
      <c r="E46" s="91">
        <v>7005.7</v>
      </c>
      <c r="F46" s="336">
        <f t="shared" si="1"/>
        <v>9239.53</v>
      </c>
      <c r="G46" s="337">
        <v>16245.23</v>
      </c>
      <c r="H46" s="337">
        <v>0</v>
      </c>
      <c r="I46" s="337">
        <v>0</v>
      </c>
      <c r="J46" s="337">
        <v>0</v>
      </c>
      <c r="K46" s="337">
        <v>0</v>
      </c>
      <c r="L46" s="338">
        <v>185</v>
      </c>
      <c r="M46" s="338">
        <v>214</v>
      </c>
      <c r="N46" s="231" t="s">
        <v>488</v>
      </c>
      <c r="O46" s="93">
        <v>0</v>
      </c>
      <c r="P46" s="230">
        <v>69</v>
      </c>
    </row>
    <row r="47" s="1" customFormat="1" ht="20.25" customHeight="1" spans="1:16">
      <c r="A47" s="335">
        <v>94</v>
      </c>
      <c r="B47" s="335" t="s">
        <v>506</v>
      </c>
      <c r="C47" s="335" t="s">
        <v>89</v>
      </c>
      <c r="D47" s="91">
        <v>13941.46</v>
      </c>
      <c r="E47" s="91">
        <v>0</v>
      </c>
      <c r="F47" s="336">
        <f t="shared" si="1"/>
        <v>13941.46</v>
      </c>
      <c r="G47" s="337">
        <v>13941.46</v>
      </c>
      <c r="H47" s="337">
        <v>0</v>
      </c>
      <c r="I47" s="337">
        <v>0</v>
      </c>
      <c r="J47" s="337">
        <v>0</v>
      </c>
      <c r="K47" s="337">
        <v>0</v>
      </c>
      <c r="L47" s="338">
        <v>442</v>
      </c>
      <c r="M47" s="338">
        <v>246</v>
      </c>
      <c r="N47" s="231" t="s">
        <v>505</v>
      </c>
      <c r="O47" s="93">
        <v>0</v>
      </c>
      <c r="P47" s="230">
        <v>263</v>
      </c>
    </row>
    <row r="48" s="1" customFormat="1" ht="20.25" customHeight="1" spans="1:16">
      <c r="A48" s="335">
        <v>4090</v>
      </c>
      <c r="B48" s="335" t="s">
        <v>513</v>
      </c>
      <c r="C48" s="335" t="s">
        <v>514</v>
      </c>
      <c r="D48" s="91">
        <v>13097.57</v>
      </c>
      <c r="E48" s="91">
        <v>0</v>
      </c>
      <c r="F48" s="336">
        <f t="shared" si="1"/>
        <v>13097.57</v>
      </c>
      <c r="G48" s="337">
        <v>13097.57</v>
      </c>
      <c r="H48" s="337">
        <v>0</v>
      </c>
      <c r="I48" s="337">
        <v>0</v>
      </c>
      <c r="J48" s="337">
        <v>0</v>
      </c>
      <c r="K48" s="337">
        <v>0</v>
      </c>
      <c r="L48" s="338">
        <v>512</v>
      </c>
      <c r="M48" s="338">
        <v>295</v>
      </c>
      <c r="N48" s="231" t="s">
        <v>505</v>
      </c>
      <c r="O48" s="93">
        <v>0</v>
      </c>
      <c r="P48" s="230">
        <v>322</v>
      </c>
    </row>
    <row r="49" s="1" customFormat="1" ht="20.25" customHeight="1" spans="1:16">
      <c r="A49" s="335">
        <v>1113</v>
      </c>
      <c r="B49" s="335" t="s">
        <v>495</v>
      </c>
      <c r="C49" s="335" t="s">
        <v>515</v>
      </c>
      <c r="D49" s="91">
        <v>8810.73</v>
      </c>
      <c r="E49" s="91">
        <v>4846.07</v>
      </c>
      <c r="F49" s="336">
        <f t="shared" si="1"/>
        <v>3964.66</v>
      </c>
      <c r="G49" s="337">
        <v>8810.73</v>
      </c>
      <c r="H49" s="337">
        <v>0</v>
      </c>
      <c r="I49" s="337">
        <v>0</v>
      </c>
      <c r="J49" s="337">
        <v>0</v>
      </c>
      <c r="K49" s="337">
        <v>0</v>
      </c>
      <c r="L49" s="338">
        <v>228</v>
      </c>
      <c r="M49" s="338">
        <v>234</v>
      </c>
      <c r="N49" s="231" t="s">
        <v>488</v>
      </c>
      <c r="O49" s="93">
        <v>0</v>
      </c>
      <c r="P49" s="230">
        <v>36</v>
      </c>
    </row>
    <row r="50" s="1" customFormat="1" ht="20.25" customHeight="1" spans="1:16">
      <c r="A50" s="335">
        <v>1715</v>
      </c>
      <c r="B50" s="335" t="s">
        <v>506</v>
      </c>
      <c r="C50" s="335" t="s">
        <v>516</v>
      </c>
      <c r="D50" s="91">
        <v>8671.25</v>
      </c>
      <c r="E50" s="91">
        <v>5083.63</v>
      </c>
      <c r="F50" s="336">
        <f t="shared" si="1"/>
        <v>3587.62</v>
      </c>
      <c r="G50" s="337">
        <v>8671.25</v>
      </c>
      <c r="H50" s="337">
        <v>0</v>
      </c>
      <c r="I50" s="337">
        <v>0</v>
      </c>
      <c r="J50" s="337">
        <v>0</v>
      </c>
      <c r="K50" s="337">
        <v>0</v>
      </c>
      <c r="L50" s="338">
        <v>377</v>
      </c>
      <c r="M50" s="338">
        <v>251</v>
      </c>
      <c r="N50" s="231" t="s">
        <v>488</v>
      </c>
      <c r="O50" s="93">
        <v>0</v>
      </c>
      <c r="P50" s="230">
        <v>82</v>
      </c>
    </row>
    <row r="51" s="1" customFormat="1" ht="20.25" customHeight="1" spans="1:16">
      <c r="A51" s="335">
        <v>2565</v>
      </c>
      <c r="B51" s="335" t="s">
        <v>276</v>
      </c>
      <c r="C51" s="335" t="s">
        <v>517</v>
      </c>
      <c r="D51" s="91">
        <v>8205.1</v>
      </c>
      <c r="E51" s="91">
        <v>1940.52</v>
      </c>
      <c r="F51" s="336">
        <f t="shared" si="1"/>
        <v>6264.58</v>
      </c>
      <c r="G51" s="337">
        <v>8205.1</v>
      </c>
      <c r="H51" s="337">
        <v>0</v>
      </c>
      <c r="I51" s="337">
        <v>0</v>
      </c>
      <c r="J51" s="337">
        <v>0</v>
      </c>
      <c r="K51" s="337">
        <v>0</v>
      </c>
      <c r="L51" s="338">
        <v>317</v>
      </c>
      <c r="M51" s="338">
        <v>322</v>
      </c>
      <c r="N51" s="231" t="s">
        <v>505</v>
      </c>
      <c r="O51" s="93">
        <v>0</v>
      </c>
      <c r="P51" s="230">
        <v>169</v>
      </c>
    </row>
    <row r="52" s="1" customFormat="1" ht="20.25" customHeight="1" spans="1:16">
      <c r="A52" s="335">
        <v>641</v>
      </c>
      <c r="B52" s="335" t="s">
        <v>518</v>
      </c>
      <c r="C52" s="335" t="s">
        <v>519</v>
      </c>
      <c r="D52" s="91">
        <v>7487.49</v>
      </c>
      <c r="E52" s="91">
        <v>3933.28</v>
      </c>
      <c r="F52" s="336">
        <f t="shared" si="1"/>
        <v>3554.21</v>
      </c>
      <c r="G52" s="337">
        <v>7487.49</v>
      </c>
      <c r="H52" s="337">
        <v>0</v>
      </c>
      <c r="I52" s="337">
        <v>0</v>
      </c>
      <c r="J52" s="337">
        <v>0</v>
      </c>
      <c r="K52" s="337">
        <v>0</v>
      </c>
      <c r="L52" s="338">
        <v>126</v>
      </c>
      <c r="M52" s="338">
        <v>124</v>
      </c>
      <c r="N52" s="231" t="s">
        <v>488</v>
      </c>
      <c r="O52" s="93">
        <v>0</v>
      </c>
      <c r="P52" s="230">
        <v>67</v>
      </c>
    </row>
    <row r="53" s="1" customFormat="1" ht="20.25" customHeight="1" spans="1:16">
      <c r="A53" s="335">
        <v>939</v>
      </c>
      <c r="B53" s="335" t="s">
        <v>513</v>
      </c>
      <c r="C53" s="335" t="s">
        <v>520</v>
      </c>
      <c r="D53" s="91">
        <v>6630.33</v>
      </c>
      <c r="E53" s="91">
        <v>9329.62</v>
      </c>
      <c r="F53" s="336">
        <f t="shared" si="1"/>
        <v>-2699.29</v>
      </c>
      <c r="G53" s="337">
        <v>6630.33</v>
      </c>
      <c r="H53" s="337">
        <v>0</v>
      </c>
      <c r="I53" s="337">
        <v>0</v>
      </c>
      <c r="J53" s="337">
        <v>0</v>
      </c>
      <c r="K53" s="337">
        <v>0</v>
      </c>
      <c r="L53" s="338">
        <v>227</v>
      </c>
      <c r="M53" s="338">
        <v>202</v>
      </c>
      <c r="N53" s="231" t="s">
        <v>505</v>
      </c>
      <c r="O53" s="93">
        <v>0</v>
      </c>
      <c r="P53" s="230">
        <v>111</v>
      </c>
    </row>
    <row r="54" s="1" customFormat="1" ht="20.25" customHeight="1" spans="1:16">
      <c r="A54" s="335">
        <v>3179</v>
      </c>
      <c r="B54" s="335" t="s">
        <v>464</v>
      </c>
      <c r="C54" s="335" t="s">
        <v>521</v>
      </c>
      <c r="D54" s="91">
        <v>5609.95</v>
      </c>
      <c r="E54" s="91">
        <v>0</v>
      </c>
      <c r="F54" s="336">
        <f t="shared" si="1"/>
        <v>5609.95</v>
      </c>
      <c r="G54" s="337">
        <v>5609.95</v>
      </c>
      <c r="H54" s="337">
        <v>0</v>
      </c>
      <c r="I54" s="337">
        <v>0</v>
      </c>
      <c r="J54" s="337">
        <v>0</v>
      </c>
      <c r="K54" s="337">
        <v>0</v>
      </c>
      <c r="L54" s="338">
        <v>103</v>
      </c>
      <c r="M54" s="338">
        <v>57</v>
      </c>
      <c r="N54" s="231" t="s">
        <v>454</v>
      </c>
      <c r="O54" s="93">
        <v>0</v>
      </c>
      <c r="P54" s="230">
        <v>27</v>
      </c>
    </row>
    <row r="55" s="1" customFormat="1" ht="32.25" customHeight="1" spans="1:16">
      <c r="A55" s="335">
        <v>2358</v>
      </c>
      <c r="B55" s="335" t="s">
        <v>513</v>
      </c>
      <c r="C55" s="335" t="s">
        <v>83</v>
      </c>
      <c r="D55" s="91">
        <v>4503.56</v>
      </c>
      <c r="E55" s="91">
        <v>2598.45</v>
      </c>
      <c r="F55" s="336">
        <f t="shared" si="1"/>
        <v>1905.11</v>
      </c>
      <c r="G55" s="337">
        <v>4503.56</v>
      </c>
      <c r="H55" s="337">
        <v>0</v>
      </c>
      <c r="I55" s="337">
        <v>0</v>
      </c>
      <c r="J55" s="337">
        <v>0</v>
      </c>
      <c r="K55" s="337">
        <v>0</v>
      </c>
      <c r="L55" s="338">
        <v>1043</v>
      </c>
      <c r="M55" s="338">
        <v>1108</v>
      </c>
      <c r="N55" s="231" t="s">
        <v>505</v>
      </c>
      <c r="O55" s="93">
        <v>0</v>
      </c>
      <c r="P55" s="230">
        <v>929</v>
      </c>
    </row>
    <row r="56" s="1" customFormat="1" ht="16.5" customHeight="1" spans="1:16">
      <c r="A56" s="335">
        <v>6385</v>
      </c>
      <c r="B56" s="335" t="s">
        <v>522</v>
      </c>
      <c r="C56" s="335" t="s">
        <v>523</v>
      </c>
      <c r="D56" s="91">
        <v>2926.02</v>
      </c>
      <c r="E56" s="91">
        <v>0</v>
      </c>
      <c r="F56" s="336">
        <f t="shared" si="1"/>
        <v>2926.02</v>
      </c>
      <c r="G56" s="337">
        <v>2926.02</v>
      </c>
      <c r="H56" s="337">
        <v>0</v>
      </c>
      <c r="I56" s="337">
        <v>0</v>
      </c>
      <c r="J56" s="337">
        <v>0</v>
      </c>
      <c r="K56" s="337">
        <v>0</v>
      </c>
      <c r="L56" s="338">
        <v>250</v>
      </c>
      <c r="M56" s="338">
        <v>169</v>
      </c>
      <c r="N56" s="231" t="s">
        <v>505</v>
      </c>
      <c r="O56" s="93">
        <v>0</v>
      </c>
      <c r="P56" s="230">
        <v>79</v>
      </c>
    </row>
    <row r="57" s="1" customFormat="1" spans="1:16">
      <c r="A57" s="335">
        <v>2429</v>
      </c>
      <c r="B57" s="335" t="s">
        <v>464</v>
      </c>
      <c r="C57" s="335" t="s">
        <v>524</v>
      </c>
      <c r="D57" s="91">
        <v>2905.93</v>
      </c>
      <c r="E57" s="91">
        <v>0</v>
      </c>
      <c r="F57" s="336">
        <f t="shared" si="1"/>
        <v>2905.93</v>
      </c>
      <c r="G57" s="337">
        <v>2905.93</v>
      </c>
      <c r="H57" s="337">
        <v>0</v>
      </c>
      <c r="I57" s="337">
        <v>0</v>
      </c>
      <c r="J57" s="337">
        <v>0</v>
      </c>
      <c r="K57" s="337">
        <v>0</v>
      </c>
      <c r="L57" s="338">
        <v>207</v>
      </c>
      <c r="M57" s="338">
        <v>137</v>
      </c>
      <c r="N57" s="231" t="s">
        <v>505</v>
      </c>
      <c r="O57" s="93">
        <v>0</v>
      </c>
      <c r="P57" s="230">
        <v>80</v>
      </c>
    </row>
    <row r="58" s="1" customFormat="1" spans="1:16">
      <c r="A58" s="335">
        <v>3157</v>
      </c>
      <c r="B58" s="335" t="s">
        <v>511</v>
      </c>
      <c r="C58" s="335" t="s">
        <v>525</v>
      </c>
      <c r="D58" s="91">
        <v>1611.3</v>
      </c>
      <c r="E58" s="91">
        <v>2106.71</v>
      </c>
      <c r="F58" s="336">
        <f t="shared" si="1"/>
        <v>-495.41</v>
      </c>
      <c r="G58" s="337">
        <v>1611.3</v>
      </c>
      <c r="H58" s="337">
        <v>0</v>
      </c>
      <c r="I58" s="337">
        <v>0</v>
      </c>
      <c r="J58" s="337">
        <v>0</v>
      </c>
      <c r="K58" s="337">
        <v>0</v>
      </c>
      <c r="L58" s="338">
        <v>222</v>
      </c>
      <c r="M58" s="338">
        <v>212</v>
      </c>
      <c r="N58" s="231" t="s">
        <v>505</v>
      </c>
      <c r="O58" s="93">
        <v>0</v>
      </c>
      <c r="P58" s="230">
        <v>103</v>
      </c>
    </row>
    <row r="59" s="1" customFormat="1" spans="1:16">
      <c r="A59" s="335">
        <v>2657</v>
      </c>
      <c r="B59" s="335" t="s">
        <v>276</v>
      </c>
      <c r="C59" s="335" t="s">
        <v>526</v>
      </c>
      <c r="D59" s="91">
        <v>1527.22</v>
      </c>
      <c r="E59" s="91">
        <v>932.37</v>
      </c>
      <c r="F59" s="336">
        <f t="shared" si="1"/>
        <v>594.85</v>
      </c>
      <c r="G59" s="337">
        <v>1527.22</v>
      </c>
      <c r="H59" s="337">
        <v>0</v>
      </c>
      <c r="I59" s="337">
        <v>0</v>
      </c>
      <c r="J59" s="337">
        <v>0</v>
      </c>
      <c r="K59" s="337">
        <v>0</v>
      </c>
      <c r="L59" s="338">
        <v>80</v>
      </c>
      <c r="M59" s="338">
        <v>54</v>
      </c>
      <c r="N59" s="231" t="s">
        <v>505</v>
      </c>
      <c r="O59" s="93">
        <v>0</v>
      </c>
      <c r="P59" s="230">
        <v>28</v>
      </c>
    </row>
    <row r="60" s="1" customFormat="1" spans="1:16">
      <c r="A60" s="335">
        <v>2520</v>
      </c>
      <c r="B60" s="335" t="s">
        <v>276</v>
      </c>
      <c r="C60" s="335" t="s">
        <v>527</v>
      </c>
      <c r="D60" s="91">
        <v>1483.89</v>
      </c>
      <c r="E60" s="91">
        <v>6912.54</v>
      </c>
      <c r="F60" s="336">
        <f t="shared" si="1"/>
        <v>-5428.65</v>
      </c>
      <c r="G60" s="337">
        <v>1483.89</v>
      </c>
      <c r="H60" s="337">
        <v>0</v>
      </c>
      <c r="I60" s="337">
        <v>0</v>
      </c>
      <c r="J60" s="337">
        <v>0</v>
      </c>
      <c r="K60" s="337">
        <v>0</v>
      </c>
      <c r="L60" s="338">
        <v>133</v>
      </c>
      <c r="M60" s="338">
        <v>175</v>
      </c>
      <c r="N60" s="231" t="s">
        <v>505</v>
      </c>
      <c r="O60" s="93">
        <v>0</v>
      </c>
      <c r="P60" s="230">
        <v>107</v>
      </c>
    </row>
    <row r="61" s="1" customFormat="1" spans="1:16">
      <c r="A61" s="335">
        <v>6670</v>
      </c>
      <c r="B61" s="335" t="s">
        <v>389</v>
      </c>
      <c r="C61" s="335" t="s">
        <v>528</v>
      </c>
      <c r="D61" s="91">
        <v>1474.61</v>
      </c>
      <c r="E61" s="91">
        <v>15165.7</v>
      </c>
      <c r="F61" s="336">
        <f t="shared" si="1"/>
        <v>-13691.09</v>
      </c>
      <c r="G61" s="337">
        <v>1474.61</v>
      </c>
      <c r="H61" s="337">
        <v>0</v>
      </c>
      <c r="I61" s="337">
        <v>0</v>
      </c>
      <c r="J61" s="337">
        <v>0</v>
      </c>
      <c r="K61" s="337">
        <v>0</v>
      </c>
      <c r="L61" s="338">
        <v>600</v>
      </c>
      <c r="M61" s="338">
        <v>584</v>
      </c>
      <c r="N61" s="231" t="s">
        <v>505</v>
      </c>
      <c r="O61" s="93">
        <v>0</v>
      </c>
      <c r="P61" s="230">
        <v>387</v>
      </c>
    </row>
    <row r="62" s="1" customFormat="1" spans="1:16">
      <c r="A62" s="335">
        <v>1</v>
      </c>
      <c r="B62" s="335" t="s">
        <v>511</v>
      </c>
      <c r="C62" s="335" t="s">
        <v>132</v>
      </c>
      <c r="D62" s="91">
        <v>1021.13</v>
      </c>
      <c r="E62" s="91">
        <v>6371.11</v>
      </c>
      <c r="F62" s="336">
        <f t="shared" si="1"/>
        <v>-5349.98</v>
      </c>
      <c r="G62" s="337">
        <v>1021.13</v>
      </c>
      <c r="H62" s="337">
        <v>0</v>
      </c>
      <c r="I62" s="337">
        <v>0</v>
      </c>
      <c r="J62" s="337">
        <v>0</v>
      </c>
      <c r="K62" s="337">
        <v>0</v>
      </c>
      <c r="L62" s="338">
        <v>68</v>
      </c>
      <c r="M62" s="338">
        <v>64</v>
      </c>
      <c r="N62" s="231" t="s">
        <v>505</v>
      </c>
      <c r="O62" s="93">
        <v>0</v>
      </c>
      <c r="P62" s="230">
        <v>16</v>
      </c>
    </row>
    <row r="63" s="1" customFormat="1" spans="1:16">
      <c r="A63" s="335">
        <v>6656</v>
      </c>
      <c r="B63" s="335" t="s">
        <v>389</v>
      </c>
      <c r="C63" s="335" t="s">
        <v>529</v>
      </c>
      <c r="D63" s="91">
        <v>1007.05</v>
      </c>
      <c r="E63" s="91">
        <v>1829.8</v>
      </c>
      <c r="F63" s="336">
        <f t="shared" si="1"/>
        <v>-822.75</v>
      </c>
      <c r="G63" s="337">
        <v>1007.05</v>
      </c>
      <c r="H63" s="337">
        <v>0</v>
      </c>
      <c r="I63" s="337">
        <v>0</v>
      </c>
      <c r="J63" s="337">
        <v>0</v>
      </c>
      <c r="K63" s="337">
        <v>0</v>
      </c>
      <c r="L63" s="338">
        <v>76</v>
      </c>
      <c r="M63" s="338">
        <v>45</v>
      </c>
      <c r="N63" s="231" t="s">
        <v>454</v>
      </c>
      <c r="O63" s="93">
        <v>0</v>
      </c>
      <c r="P63" s="230">
        <v>0</v>
      </c>
    </row>
    <row r="64" s="1" customFormat="1" spans="1:16">
      <c r="A64" s="335">
        <v>6255</v>
      </c>
      <c r="B64" s="335" t="s">
        <v>530</v>
      </c>
      <c r="C64" s="335" t="s">
        <v>531</v>
      </c>
      <c r="D64" s="91">
        <v>347.82</v>
      </c>
      <c r="E64" s="91">
        <v>29129.16</v>
      </c>
      <c r="F64" s="336">
        <f t="shared" si="1"/>
        <v>-28781.34</v>
      </c>
      <c r="G64" s="337">
        <v>347.82</v>
      </c>
      <c r="H64" s="337">
        <v>0</v>
      </c>
      <c r="I64" s="337">
        <v>0</v>
      </c>
      <c r="J64" s="337">
        <v>0</v>
      </c>
      <c r="K64" s="337">
        <v>0</v>
      </c>
      <c r="L64" s="338"/>
      <c r="M64" s="338"/>
      <c r="N64" s="231" t="s">
        <v>505</v>
      </c>
      <c r="O64" s="93">
        <v>0</v>
      </c>
      <c r="P64" s="230">
        <v>85</v>
      </c>
    </row>
  </sheetData>
  <autoFilter xmlns:etc="http://www.wps.cn/officeDocument/2017/etCustomData" ref="A8:P64" etc:filterBottomFollowUsedRange="0">
    <sortState ref="A8:P64">
      <sortCondition ref="K8:K9" descending="1"/>
    </sortState>
    <extLst/>
  </autoFilter>
  <mergeCells count="19">
    <mergeCell ref="E1:I1"/>
    <mergeCell ref="G7:K7"/>
    <mergeCell ref="A8:A9"/>
    <mergeCell ref="B8:B9"/>
    <mergeCell ref="C1:C2"/>
    <mergeCell ref="C8:C9"/>
    <mergeCell ref="D8:D9"/>
    <mergeCell ref="E8:E9"/>
    <mergeCell ref="F8:F9"/>
    <mergeCell ref="G8:G9"/>
    <mergeCell ref="H8:H9"/>
    <mergeCell ref="I8:I9"/>
    <mergeCell ref="J8:J9"/>
    <mergeCell ref="K8:K9"/>
    <mergeCell ref="L8:L9"/>
    <mergeCell ref="M8:M9"/>
    <mergeCell ref="N8:N9"/>
    <mergeCell ref="O8:O9"/>
    <mergeCell ref="P8:P9"/>
  </mergeCells>
  <conditionalFormatting sqref="D5:I5">
    <cfRule type="cellIs" dxfId="0" priority="1" operator="lessThan">
      <formula>0</formula>
    </cfRule>
    <cfRule type="cellIs" dxfId="1" priority="2" operator="greaterThan">
      <formula>0</formula>
    </cfRule>
  </conditionalFormatting>
  <pageMargins left="0.7" right="0.7" top="0.75" bottom="0.75" header="0.3" footer="0.3"/>
  <pageSetup paperSize="1" orientation="portrait"/>
  <headerFooter>
    <oddFooter>&amp;L&amp;1#&amp;"Calibri"&amp;10&amp;K000000John Keells Group - Confidential</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799432355723746"/>
  </sheetPr>
  <dimension ref="A1:P97"/>
  <sheetViews>
    <sheetView topLeftCell="G1" workbookViewId="0">
      <selection activeCell="K14" sqref="K14"/>
    </sheetView>
  </sheetViews>
  <sheetFormatPr defaultColWidth="9.12037037037037" defaultRowHeight="14.4"/>
  <cols>
    <col min="1" max="1" width="8.75" style="2" customWidth="1"/>
    <col min="2" max="2" width="10.25" style="2" customWidth="1"/>
    <col min="3" max="3" width="19.3703703703704" style="2" customWidth="1"/>
    <col min="4" max="4" width="14.1203703703704" style="3" customWidth="1"/>
    <col min="5" max="5" width="13.6296296296296" style="317" customWidth="1"/>
    <col min="6" max="6" width="13.6296296296296" style="3" customWidth="1"/>
    <col min="7" max="7" width="13" style="3" customWidth="1"/>
    <col min="8" max="10" width="12.1203703703704" style="3" customWidth="1"/>
    <col min="11" max="11" width="12.25" style="3" customWidth="1"/>
    <col min="12" max="12" width="12.1203703703704" style="3" customWidth="1"/>
    <col min="13" max="13" width="13.8796296296296" style="3" customWidth="1"/>
    <col min="14" max="14" width="37.1203703703704" style="4" customWidth="1"/>
    <col min="15" max="15" width="38.25" style="2" customWidth="1"/>
    <col min="16" max="16" width="16.3703703703704" style="2" customWidth="1"/>
    <col min="17" max="16384" width="9.12037037037037" style="2"/>
  </cols>
  <sheetData>
    <row r="1" ht="18.75" spans="1:16">
      <c r="A1" s="5"/>
      <c r="C1" s="262" t="s">
        <v>133</v>
      </c>
      <c r="D1" s="262" t="s">
        <v>134</v>
      </c>
      <c r="E1" s="206" t="s">
        <v>135</v>
      </c>
      <c r="F1" s="206"/>
      <c r="G1" s="206"/>
      <c r="H1" s="206"/>
      <c r="I1" s="207"/>
      <c r="J1" s="10"/>
      <c r="K1" s="10"/>
      <c r="L1" s="10"/>
      <c r="M1" s="10"/>
    </row>
    <row r="2" ht="15.6" spans="1:16">
      <c r="A2" s="11" t="s">
        <v>451</v>
      </c>
      <c r="C2" s="263"/>
      <c r="D2" s="13" t="s">
        <v>137</v>
      </c>
      <c r="E2" s="14" t="s">
        <v>138</v>
      </c>
      <c r="F2" s="15" t="s">
        <v>139</v>
      </c>
      <c r="G2" s="15" t="s">
        <v>140</v>
      </c>
      <c r="H2" s="15" t="s">
        <v>141</v>
      </c>
      <c r="I2" s="16" t="s">
        <v>142</v>
      </c>
      <c r="J2" s="10"/>
      <c r="K2" s="10"/>
      <c r="L2" s="10"/>
      <c r="M2" s="10"/>
    </row>
    <row r="3" ht="15.6" spans="1:16">
      <c r="A3" s="11"/>
      <c r="C3" s="17"/>
      <c r="D3" s="66"/>
      <c r="E3" s="67"/>
      <c r="F3" s="20"/>
      <c r="G3" s="20"/>
      <c r="H3" s="20"/>
      <c r="I3" s="21"/>
      <c r="J3" s="10"/>
      <c r="K3" s="10"/>
      <c r="L3" s="10"/>
      <c r="M3" s="10"/>
    </row>
    <row r="4" ht="15.6" spans="1:16">
      <c r="A4" s="11"/>
      <c r="C4" s="17"/>
      <c r="D4" s="66"/>
      <c r="E4" s="67"/>
      <c r="F4" s="20"/>
      <c r="G4" s="20"/>
      <c r="H4" s="20"/>
      <c r="I4" s="21"/>
      <c r="J4" s="10"/>
      <c r="K4" s="10"/>
      <c r="L4" s="10"/>
      <c r="M4" s="10"/>
    </row>
    <row r="5" ht="16.35" spans="1:16">
      <c r="A5" s="11"/>
      <c r="C5" s="266"/>
      <c r="D5" s="211"/>
      <c r="E5" s="212"/>
      <c r="F5" s="25"/>
      <c r="G5" s="25"/>
      <c r="H5" s="25"/>
      <c r="I5" s="26"/>
      <c r="J5" s="10"/>
      <c r="K5" s="10"/>
      <c r="L5" s="10"/>
      <c r="M5" s="10"/>
    </row>
    <row r="6" ht="15.15" spans="1:16">
      <c r="A6" s="27"/>
      <c r="B6" s="27"/>
      <c r="C6" s="27"/>
      <c r="D6" s="28"/>
      <c r="E6" s="323"/>
      <c r="F6" s="28"/>
      <c r="G6" s="28"/>
      <c r="H6" s="28"/>
      <c r="I6" s="28"/>
      <c r="J6" s="28"/>
      <c r="K6" s="28"/>
      <c r="L6" s="28"/>
      <c r="M6" s="28"/>
    </row>
    <row r="7" ht="14.45" customHeight="1" spans="1:16">
      <c r="A7" s="27"/>
      <c r="B7" s="27"/>
      <c r="C7" s="27"/>
      <c r="D7" s="29"/>
      <c r="E7" s="324"/>
      <c r="F7" s="30"/>
      <c r="G7" s="31" t="s">
        <v>146</v>
      </c>
      <c r="H7" s="32"/>
      <c r="I7" s="32"/>
      <c r="J7" s="32"/>
      <c r="K7" s="33"/>
      <c r="L7" s="34"/>
      <c r="M7" s="34"/>
      <c r="N7" s="35"/>
      <c r="O7" s="70"/>
    </row>
    <row r="8" ht="24.6" customHeight="1" spans="1:16">
      <c r="A8" s="36" t="s">
        <v>147</v>
      </c>
      <c r="B8" s="36" t="s">
        <v>148</v>
      </c>
      <c r="C8" s="36" t="s">
        <v>149</v>
      </c>
      <c r="D8" s="37" t="s">
        <v>199</v>
      </c>
      <c r="E8" s="37" t="s">
        <v>200</v>
      </c>
      <c r="F8" s="37" t="s">
        <v>152</v>
      </c>
      <c r="G8" s="37" t="s">
        <v>153</v>
      </c>
      <c r="H8" s="37" t="s">
        <v>154</v>
      </c>
      <c r="I8" s="37" t="s">
        <v>155</v>
      </c>
      <c r="J8" s="37" t="s">
        <v>156</v>
      </c>
      <c r="K8" s="37" t="s">
        <v>157</v>
      </c>
      <c r="L8" s="36" t="s">
        <v>201</v>
      </c>
      <c r="M8" s="36" t="s">
        <v>202</v>
      </c>
      <c r="N8" s="38" t="s">
        <v>203</v>
      </c>
      <c r="O8" s="39" t="s">
        <v>161</v>
      </c>
      <c r="P8" s="39" t="s">
        <v>204</v>
      </c>
    </row>
    <row r="9" ht="31.5" customHeight="1" spans="1:16">
      <c r="A9" s="36"/>
      <c r="B9" s="36"/>
      <c r="C9" s="36"/>
      <c r="D9" s="37"/>
      <c r="E9" s="37"/>
      <c r="F9" s="37"/>
      <c r="G9" s="37"/>
      <c r="H9" s="37"/>
      <c r="I9" s="37"/>
      <c r="J9" s="37"/>
      <c r="K9" s="37"/>
      <c r="L9" s="36"/>
      <c r="M9" s="36"/>
      <c r="N9" s="38"/>
      <c r="O9" s="41"/>
      <c r="P9" s="41"/>
    </row>
    <row r="10" s="1" customFormat="1" ht="45" customHeight="1" spans="1:16">
      <c r="A10" s="325"/>
      <c r="B10" s="325"/>
      <c r="C10" s="325"/>
      <c r="D10" s="45"/>
      <c r="E10" s="45"/>
      <c r="F10" s="326">
        <f t="shared" ref="F10:F41" si="0">D10-E10</f>
        <v>0</v>
      </c>
      <c r="G10" s="327"/>
      <c r="H10" s="327"/>
      <c r="I10" s="327"/>
      <c r="J10" s="327"/>
      <c r="K10" s="327"/>
      <c r="L10" s="328"/>
      <c r="M10" s="328"/>
      <c r="N10" s="329"/>
      <c r="O10" s="269"/>
      <c r="P10" s="325">
        <v>0</v>
      </c>
    </row>
    <row r="11" s="1" customFormat="1" spans="1:16">
      <c r="A11" s="325"/>
      <c r="B11" s="325"/>
      <c r="C11" s="325"/>
      <c r="D11" s="45"/>
      <c r="E11" s="45"/>
      <c r="F11" s="326">
        <f t="shared" si="0"/>
        <v>0</v>
      </c>
      <c r="G11" s="327"/>
      <c r="H11" s="327"/>
      <c r="I11" s="327"/>
      <c r="J11" s="327"/>
      <c r="K11" s="327"/>
      <c r="L11" s="328"/>
      <c r="M11" s="328"/>
      <c r="N11" s="59"/>
      <c r="O11" s="268"/>
      <c r="P11" s="325">
        <v>175</v>
      </c>
    </row>
    <row r="12" s="1" customFormat="1" ht="16.5" customHeight="1" spans="1:16">
      <c r="A12" s="325"/>
      <c r="B12" s="325"/>
      <c r="C12" s="325"/>
      <c r="D12" s="45"/>
      <c r="E12" s="45"/>
      <c r="F12" s="326">
        <f t="shared" si="0"/>
        <v>0</v>
      </c>
      <c r="G12" s="327"/>
      <c r="H12" s="327"/>
      <c r="I12" s="327"/>
      <c r="J12" s="327"/>
      <c r="K12" s="327"/>
      <c r="L12" s="328"/>
      <c r="M12" s="328"/>
      <c r="N12" s="329"/>
      <c r="O12" s="268"/>
      <c r="P12" s="325">
        <v>0</v>
      </c>
    </row>
    <row r="13" s="1" customFormat="1" spans="1:16">
      <c r="A13" s="325"/>
      <c r="B13" s="325"/>
      <c r="C13" s="325"/>
      <c r="D13" s="45"/>
      <c r="E13" s="45"/>
      <c r="F13" s="326">
        <f t="shared" si="0"/>
        <v>0</v>
      </c>
      <c r="G13" s="327"/>
      <c r="H13" s="327"/>
      <c r="I13" s="327"/>
      <c r="J13" s="327"/>
      <c r="K13" s="327"/>
      <c r="L13" s="328"/>
      <c r="M13" s="328"/>
      <c r="N13" s="59"/>
      <c r="O13" s="268"/>
      <c r="P13" s="325">
        <v>0</v>
      </c>
    </row>
    <row r="14" s="1" customFormat="1" ht="16.5" customHeight="1" spans="1:16">
      <c r="A14" s="325"/>
      <c r="B14" s="325"/>
      <c r="C14" s="325"/>
      <c r="D14" s="45"/>
      <c r="E14" s="45"/>
      <c r="F14" s="326">
        <f t="shared" si="0"/>
        <v>0</v>
      </c>
      <c r="G14" s="327"/>
      <c r="H14" s="327"/>
      <c r="I14" s="327"/>
      <c r="J14" s="327"/>
      <c r="K14" s="327"/>
      <c r="L14" s="328"/>
      <c r="M14" s="328"/>
      <c r="N14" s="329"/>
      <c r="O14" s="268"/>
      <c r="P14" s="325">
        <v>0</v>
      </c>
    </row>
    <row r="15" s="1" customFormat="1" spans="1:16">
      <c r="A15" s="325"/>
      <c r="B15" s="325"/>
      <c r="C15" s="325"/>
      <c r="D15" s="45"/>
      <c r="E15" s="45"/>
      <c r="F15" s="326">
        <f t="shared" si="0"/>
        <v>0</v>
      </c>
      <c r="G15" s="327"/>
      <c r="H15" s="327"/>
      <c r="I15" s="327"/>
      <c r="J15" s="327"/>
      <c r="K15" s="327"/>
      <c r="L15" s="328"/>
      <c r="M15" s="328"/>
      <c r="N15" s="329"/>
      <c r="O15" s="268"/>
      <c r="P15" s="325">
        <v>0</v>
      </c>
    </row>
    <row r="16" s="1" customFormat="1" spans="1:16">
      <c r="A16" s="325"/>
      <c r="B16" s="325"/>
      <c r="C16" s="325"/>
      <c r="D16" s="45"/>
      <c r="E16" s="45"/>
      <c r="F16" s="326">
        <f t="shared" si="0"/>
        <v>0</v>
      </c>
      <c r="G16" s="327"/>
      <c r="H16" s="327"/>
      <c r="I16" s="327"/>
      <c r="J16" s="327"/>
      <c r="K16" s="327"/>
      <c r="L16" s="328"/>
      <c r="M16" s="328"/>
      <c r="N16" s="59"/>
      <c r="O16" s="268"/>
      <c r="P16" s="325">
        <v>0</v>
      </c>
    </row>
    <row r="17" s="1" customFormat="1" spans="1:16">
      <c r="A17" s="325"/>
      <c r="B17" s="325"/>
      <c r="C17" s="325"/>
      <c r="D17" s="45"/>
      <c r="E17" s="45"/>
      <c r="F17" s="326">
        <f t="shared" si="0"/>
        <v>0</v>
      </c>
      <c r="G17" s="327"/>
      <c r="H17" s="327"/>
      <c r="I17" s="327"/>
      <c r="J17" s="327"/>
      <c r="K17" s="327"/>
      <c r="L17" s="328"/>
      <c r="M17" s="328"/>
      <c r="N17" s="59"/>
      <c r="O17" s="268"/>
      <c r="P17" s="325">
        <v>0</v>
      </c>
    </row>
    <row r="18" s="1" customFormat="1" spans="1:16">
      <c r="A18" s="85"/>
      <c r="B18" s="85"/>
      <c r="C18" s="85"/>
      <c r="D18" s="57"/>
      <c r="E18" s="57"/>
      <c r="F18" s="330">
        <f t="shared" si="0"/>
        <v>0</v>
      </c>
      <c r="G18" s="327"/>
      <c r="H18" s="327"/>
      <c r="I18" s="327"/>
      <c r="J18" s="327"/>
      <c r="K18" s="327"/>
      <c r="L18" s="328"/>
      <c r="M18" s="328"/>
      <c r="N18" s="329"/>
      <c r="O18" s="268"/>
      <c r="P18" s="85">
        <v>0</v>
      </c>
    </row>
    <row r="19" s="1" customFormat="1" spans="1:16">
      <c r="A19" s="85"/>
      <c r="B19" s="85"/>
      <c r="C19" s="85"/>
      <c r="D19" s="57"/>
      <c r="E19" s="57"/>
      <c r="F19" s="330">
        <f t="shared" si="0"/>
        <v>0</v>
      </c>
      <c r="G19" s="327"/>
      <c r="H19" s="327"/>
      <c r="I19" s="327"/>
      <c r="J19" s="327"/>
      <c r="K19" s="327"/>
      <c r="L19" s="328"/>
      <c r="M19" s="328"/>
      <c r="N19" s="329"/>
      <c r="O19" s="268"/>
      <c r="P19" s="85">
        <v>0</v>
      </c>
    </row>
    <row r="20" s="1" customFormat="1" spans="1:16">
      <c r="A20" s="85"/>
      <c r="B20" s="85"/>
      <c r="C20" s="85"/>
      <c r="D20" s="57"/>
      <c r="E20" s="57"/>
      <c r="F20" s="330">
        <f t="shared" si="0"/>
        <v>0</v>
      </c>
      <c r="G20" s="327"/>
      <c r="H20" s="327"/>
      <c r="I20" s="327"/>
      <c r="J20" s="327"/>
      <c r="K20" s="327"/>
      <c r="L20" s="328"/>
      <c r="M20" s="328"/>
      <c r="N20" s="329"/>
      <c r="O20" s="268"/>
      <c r="P20" s="85">
        <v>0</v>
      </c>
    </row>
    <row r="21" s="1" customFormat="1" spans="1:16">
      <c r="A21" s="325"/>
      <c r="B21" s="325"/>
      <c r="C21" s="325"/>
      <c r="D21" s="45"/>
      <c r="E21" s="45"/>
      <c r="F21" s="326">
        <f t="shared" si="0"/>
        <v>0</v>
      </c>
      <c r="G21" s="327"/>
      <c r="H21" s="327"/>
      <c r="I21" s="327"/>
      <c r="J21" s="327"/>
      <c r="K21" s="327"/>
      <c r="L21" s="328"/>
      <c r="M21" s="328"/>
      <c r="N21" s="59"/>
      <c r="O21" s="268"/>
      <c r="P21" s="325">
        <v>0</v>
      </c>
    </row>
    <row r="22" s="1" customFormat="1" spans="1:16">
      <c r="A22" s="85"/>
      <c r="B22" s="85"/>
      <c r="C22" s="85"/>
      <c r="D22" s="57"/>
      <c r="E22" s="57"/>
      <c r="F22" s="330">
        <f t="shared" si="0"/>
        <v>0</v>
      </c>
      <c r="G22" s="327"/>
      <c r="H22" s="327"/>
      <c r="I22" s="327"/>
      <c r="J22" s="327"/>
      <c r="K22" s="327"/>
      <c r="L22" s="328"/>
      <c r="M22" s="328"/>
      <c r="N22" s="329"/>
      <c r="O22" s="268"/>
      <c r="P22" s="85">
        <v>0</v>
      </c>
    </row>
    <row r="23" s="1" customFormat="1" spans="1:16">
      <c r="A23" s="325"/>
      <c r="B23" s="325"/>
      <c r="C23" s="325"/>
      <c r="D23" s="45"/>
      <c r="E23" s="45"/>
      <c r="F23" s="326">
        <f t="shared" si="0"/>
        <v>0</v>
      </c>
      <c r="G23" s="327"/>
      <c r="H23" s="327"/>
      <c r="I23" s="327"/>
      <c r="J23" s="327"/>
      <c r="K23" s="327"/>
      <c r="L23" s="328"/>
      <c r="M23" s="328"/>
      <c r="N23" s="59"/>
      <c r="O23" s="268"/>
      <c r="P23" s="325">
        <v>0</v>
      </c>
    </row>
    <row r="24" s="1" customFormat="1" spans="1:16">
      <c r="A24" s="325"/>
      <c r="B24" s="325"/>
      <c r="C24" s="325"/>
      <c r="D24" s="45"/>
      <c r="E24" s="45"/>
      <c r="F24" s="326">
        <f t="shared" si="0"/>
        <v>0</v>
      </c>
      <c r="G24" s="327"/>
      <c r="H24" s="327"/>
      <c r="I24" s="327"/>
      <c r="J24" s="327"/>
      <c r="K24" s="327"/>
      <c r="L24" s="328"/>
      <c r="M24" s="328"/>
      <c r="N24" s="329"/>
      <c r="O24" s="268"/>
      <c r="P24" s="325">
        <v>0</v>
      </c>
    </row>
    <row r="25" s="1" customFormat="1" spans="1:16">
      <c r="A25" s="85"/>
      <c r="B25" s="85"/>
      <c r="C25" s="85"/>
      <c r="D25" s="57"/>
      <c r="E25" s="57"/>
      <c r="F25" s="330">
        <f t="shared" si="0"/>
        <v>0</v>
      </c>
      <c r="G25" s="327"/>
      <c r="H25" s="327"/>
      <c r="I25" s="327"/>
      <c r="J25" s="327"/>
      <c r="K25" s="327"/>
      <c r="L25" s="328"/>
      <c r="M25" s="328"/>
      <c r="N25" s="329"/>
      <c r="O25" s="268"/>
      <c r="P25" s="85">
        <v>0</v>
      </c>
    </row>
    <row r="26" s="1" customFormat="1" spans="1:16">
      <c r="A26" s="85"/>
      <c r="B26" s="85"/>
      <c r="C26" s="85"/>
      <c r="D26" s="57"/>
      <c r="E26" s="57"/>
      <c r="F26" s="330">
        <f t="shared" si="0"/>
        <v>0</v>
      </c>
      <c r="G26" s="327"/>
      <c r="H26" s="327"/>
      <c r="I26" s="327"/>
      <c r="J26" s="327"/>
      <c r="K26" s="327"/>
      <c r="L26" s="328"/>
      <c r="M26" s="328"/>
      <c r="N26" s="329"/>
      <c r="O26" s="268"/>
      <c r="P26" s="85">
        <v>0</v>
      </c>
    </row>
    <row r="27" s="1" customFormat="1" spans="1:16">
      <c r="A27" s="85"/>
      <c r="B27" s="85"/>
      <c r="C27" s="85"/>
      <c r="D27" s="57"/>
      <c r="E27" s="57"/>
      <c r="F27" s="330">
        <f t="shared" si="0"/>
        <v>0</v>
      </c>
      <c r="G27" s="327"/>
      <c r="H27" s="327"/>
      <c r="I27" s="327"/>
      <c r="J27" s="327"/>
      <c r="K27" s="327"/>
      <c r="L27" s="328"/>
      <c r="M27" s="328"/>
      <c r="N27" s="329"/>
      <c r="O27" s="268"/>
      <c r="P27" s="85">
        <v>0</v>
      </c>
    </row>
    <row r="28" s="1" customFormat="1" spans="1:16">
      <c r="A28" s="85"/>
      <c r="B28" s="85"/>
      <c r="C28" s="85"/>
      <c r="D28" s="57"/>
      <c r="E28" s="57"/>
      <c r="F28" s="330">
        <f t="shared" si="0"/>
        <v>0</v>
      </c>
      <c r="G28" s="327"/>
      <c r="H28" s="327"/>
      <c r="I28" s="327"/>
      <c r="J28" s="327"/>
      <c r="K28" s="327"/>
      <c r="L28" s="328"/>
      <c r="M28" s="328"/>
      <c r="N28" s="329"/>
      <c r="O28" s="268"/>
      <c r="P28" s="85">
        <v>0</v>
      </c>
    </row>
    <row r="29" s="1" customFormat="1" spans="1:16">
      <c r="A29" s="325"/>
      <c r="B29" s="325"/>
      <c r="C29" s="325"/>
      <c r="D29" s="45"/>
      <c r="E29" s="45"/>
      <c r="F29" s="326">
        <f t="shared" si="0"/>
        <v>0</v>
      </c>
      <c r="G29" s="327"/>
      <c r="H29" s="327"/>
      <c r="I29" s="327"/>
      <c r="J29" s="327"/>
      <c r="K29" s="327"/>
      <c r="L29" s="328"/>
      <c r="M29" s="328"/>
      <c r="N29" s="59"/>
      <c r="O29" s="268"/>
      <c r="P29" s="325">
        <v>238</v>
      </c>
    </row>
    <row r="30" s="1" customFormat="1" spans="1:16">
      <c r="A30" s="325"/>
      <c r="B30" s="325"/>
      <c r="C30" s="325"/>
      <c r="D30" s="45"/>
      <c r="E30" s="45"/>
      <c r="F30" s="326">
        <f t="shared" si="0"/>
        <v>0</v>
      </c>
      <c r="G30" s="327"/>
      <c r="H30" s="327"/>
      <c r="I30" s="327"/>
      <c r="J30" s="327"/>
      <c r="K30" s="327"/>
      <c r="L30" s="328"/>
      <c r="M30" s="328"/>
      <c r="N30" s="59"/>
      <c r="O30" s="268"/>
      <c r="P30" s="325">
        <v>736</v>
      </c>
    </row>
    <row r="31" s="1" customFormat="1" spans="1:16">
      <c r="A31" s="325"/>
      <c r="B31" s="325"/>
      <c r="C31" s="325"/>
      <c r="D31" s="45"/>
      <c r="E31" s="45"/>
      <c r="F31" s="326">
        <f t="shared" si="0"/>
        <v>0</v>
      </c>
      <c r="G31" s="327"/>
      <c r="H31" s="327"/>
      <c r="I31" s="327"/>
      <c r="J31" s="327"/>
      <c r="K31" s="327"/>
      <c r="L31" s="328"/>
      <c r="M31" s="328"/>
      <c r="N31" s="59"/>
      <c r="O31" s="268"/>
      <c r="P31" s="325">
        <v>67</v>
      </c>
    </row>
    <row r="32" s="1" customFormat="1" spans="1:16">
      <c r="A32" s="331"/>
      <c r="B32" s="331"/>
      <c r="C32" s="332"/>
      <c r="D32" s="45"/>
      <c r="E32" s="45"/>
      <c r="F32" s="326">
        <f t="shared" si="0"/>
        <v>0</v>
      </c>
      <c r="G32" s="327"/>
      <c r="H32" s="327"/>
      <c r="I32" s="327"/>
      <c r="J32" s="327"/>
      <c r="K32" s="327"/>
      <c r="L32" s="328"/>
      <c r="M32" s="328"/>
      <c r="N32" s="59"/>
      <c r="O32" s="269"/>
      <c r="P32" s="325">
        <v>103</v>
      </c>
    </row>
    <row r="33" s="1" customFormat="1" spans="1:16">
      <c r="A33" s="325"/>
      <c r="B33" s="325"/>
      <c r="C33" s="325"/>
      <c r="D33" s="45"/>
      <c r="E33" s="45"/>
      <c r="F33" s="326">
        <f t="shared" si="0"/>
        <v>0</v>
      </c>
      <c r="G33" s="327"/>
      <c r="H33" s="327"/>
      <c r="I33" s="327"/>
      <c r="J33" s="327"/>
      <c r="K33" s="327"/>
      <c r="L33" s="328"/>
      <c r="M33" s="328"/>
      <c r="N33" s="59"/>
      <c r="O33" s="268"/>
      <c r="P33" s="325">
        <v>125</v>
      </c>
    </row>
    <row r="34" s="1" customFormat="1" ht="15" customHeight="1" spans="1:16">
      <c r="A34" s="325"/>
      <c r="B34" s="325"/>
      <c r="C34" s="325"/>
      <c r="D34" s="45"/>
      <c r="E34" s="45"/>
      <c r="F34" s="326">
        <f t="shared" si="0"/>
        <v>0</v>
      </c>
      <c r="G34" s="327"/>
      <c r="H34" s="327"/>
      <c r="I34" s="327"/>
      <c r="J34" s="327"/>
      <c r="K34" s="327"/>
      <c r="L34" s="328"/>
      <c r="M34" s="328"/>
      <c r="N34" s="59"/>
      <c r="O34" s="268"/>
      <c r="P34" s="325">
        <v>134</v>
      </c>
    </row>
    <row r="35" s="1" customFormat="1" ht="16.5" customHeight="1" spans="1:16">
      <c r="A35" s="325"/>
      <c r="B35" s="325"/>
      <c r="C35" s="325"/>
      <c r="D35" s="45"/>
      <c r="E35" s="45"/>
      <c r="F35" s="326">
        <f t="shared" si="0"/>
        <v>0</v>
      </c>
      <c r="G35" s="327"/>
      <c r="H35" s="327"/>
      <c r="I35" s="327"/>
      <c r="J35" s="327"/>
      <c r="K35" s="327"/>
      <c r="L35" s="328"/>
      <c r="M35" s="328"/>
      <c r="N35" s="59"/>
      <c r="O35" s="268"/>
      <c r="P35" s="325">
        <v>45</v>
      </c>
    </row>
    <row r="36" s="1" customFormat="1" ht="24" customHeight="1" spans="1:16">
      <c r="A36" s="325"/>
      <c r="B36" s="325"/>
      <c r="C36" s="325"/>
      <c r="D36" s="45"/>
      <c r="E36" s="45"/>
      <c r="F36" s="326">
        <f t="shared" si="0"/>
        <v>0</v>
      </c>
      <c r="G36" s="327"/>
      <c r="H36" s="327"/>
      <c r="I36" s="327"/>
      <c r="J36" s="327"/>
      <c r="K36" s="327"/>
      <c r="L36" s="328"/>
      <c r="M36" s="328"/>
      <c r="N36" s="59"/>
      <c r="O36" s="268"/>
      <c r="P36" s="325">
        <v>51</v>
      </c>
    </row>
    <row r="37" s="1" customFormat="1" spans="1:16">
      <c r="A37" s="325"/>
      <c r="B37" s="325"/>
      <c r="C37" s="325"/>
      <c r="D37" s="45"/>
      <c r="E37" s="45"/>
      <c r="F37" s="326">
        <f t="shared" si="0"/>
        <v>0</v>
      </c>
      <c r="G37" s="327"/>
      <c r="H37" s="327"/>
      <c r="I37" s="327"/>
      <c r="J37" s="327"/>
      <c r="K37" s="327"/>
      <c r="L37" s="328"/>
      <c r="M37" s="328"/>
      <c r="N37" s="59"/>
      <c r="O37" s="268"/>
      <c r="P37" s="325">
        <v>58</v>
      </c>
    </row>
    <row r="38" s="1" customFormat="1" spans="1:16">
      <c r="A38" s="325"/>
      <c r="B38" s="325"/>
      <c r="C38" s="325"/>
      <c r="D38" s="45"/>
      <c r="E38" s="45"/>
      <c r="F38" s="326">
        <f t="shared" si="0"/>
        <v>0</v>
      </c>
      <c r="G38" s="327"/>
      <c r="H38" s="327"/>
      <c r="I38" s="327"/>
      <c r="J38" s="327"/>
      <c r="K38" s="327"/>
      <c r="L38" s="328"/>
      <c r="M38" s="328"/>
      <c r="N38" s="329"/>
      <c r="O38" s="268"/>
      <c r="P38" s="325">
        <v>0</v>
      </c>
    </row>
    <row r="39" s="1" customFormat="1" spans="1:16">
      <c r="A39" s="325"/>
      <c r="B39" s="325"/>
      <c r="C39" s="325"/>
      <c r="D39" s="45"/>
      <c r="E39" s="45"/>
      <c r="F39" s="326">
        <f t="shared" si="0"/>
        <v>0</v>
      </c>
      <c r="G39" s="327"/>
      <c r="H39" s="327"/>
      <c r="I39" s="327"/>
      <c r="J39" s="327"/>
      <c r="K39" s="327"/>
      <c r="L39" s="328"/>
      <c r="M39" s="328"/>
      <c r="N39" s="59"/>
      <c r="O39" s="268"/>
      <c r="P39" s="325">
        <v>137</v>
      </c>
    </row>
    <row r="40" s="1" customFormat="1" spans="1:16">
      <c r="A40" s="325"/>
      <c r="B40" s="325"/>
      <c r="C40" s="325"/>
      <c r="D40" s="45"/>
      <c r="E40" s="45"/>
      <c r="F40" s="326">
        <f t="shared" si="0"/>
        <v>0</v>
      </c>
      <c r="G40" s="327"/>
      <c r="H40" s="327"/>
      <c r="I40" s="327"/>
      <c r="J40" s="327"/>
      <c r="K40" s="327"/>
      <c r="L40" s="328"/>
      <c r="M40" s="328"/>
      <c r="N40" s="59"/>
      <c r="O40" s="268"/>
      <c r="P40" s="325">
        <v>429</v>
      </c>
    </row>
    <row r="41" s="1" customFormat="1" spans="1:16">
      <c r="A41" s="325"/>
      <c r="B41" s="325"/>
      <c r="C41" s="325"/>
      <c r="D41" s="45"/>
      <c r="E41" s="45"/>
      <c r="F41" s="326">
        <f t="shared" si="0"/>
        <v>0</v>
      </c>
      <c r="G41" s="327"/>
      <c r="H41" s="327"/>
      <c r="I41" s="327"/>
      <c r="J41" s="327"/>
      <c r="K41" s="327"/>
      <c r="L41" s="328"/>
      <c r="M41" s="328"/>
      <c r="N41" s="59"/>
      <c r="O41" s="269"/>
      <c r="P41" s="325">
        <v>0</v>
      </c>
    </row>
    <row r="42" s="1" customFormat="1" spans="1:16">
      <c r="A42" s="325"/>
      <c r="B42" s="325"/>
      <c r="C42" s="325"/>
      <c r="D42" s="45"/>
      <c r="E42" s="45"/>
      <c r="F42" s="326">
        <f t="shared" ref="F42:F66" si="1">D42-E42</f>
        <v>0</v>
      </c>
      <c r="G42" s="327"/>
      <c r="H42" s="327"/>
      <c r="I42" s="327"/>
      <c r="J42" s="327"/>
      <c r="K42" s="327"/>
      <c r="L42" s="328"/>
      <c r="M42" s="328"/>
      <c r="N42" s="329"/>
      <c r="O42" s="268"/>
      <c r="P42" s="325">
        <v>0</v>
      </c>
    </row>
    <row r="43" s="1" customFormat="1" spans="1:16">
      <c r="A43" s="325"/>
      <c r="B43" s="325"/>
      <c r="C43" s="325"/>
      <c r="D43" s="45"/>
      <c r="E43" s="45"/>
      <c r="F43" s="326">
        <f t="shared" si="1"/>
        <v>0</v>
      </c>
      <c r="G43" s="327"/>
      <c r="H43" s="327"/>
      <c r="I43" s="327"/>
      <c r="J43" s="327"/>
      <c r="K43" s="327"/>
      <c r="L43" s="328"/>
      <c r="M43" s="328"/>
      <c r="N43" s="329"/>
      <c r="O43" s="268"/>
      <c r="P43" s="325">
        <v>0</v>
      </c>
    </row>
    <row r="44" s="1" customFormat="1" spans="1:16">
      <c r="A44" s="325"/>
      <c r="B44" s="325"/>
      <c r="C44" s="325"/>
      <c r="D44" s="45"/>
      <c r="E44" s="45"/>
      <c r="F44" s="326">
        <f t="shared" si="1"/>
        <v>0</v>
      </c>
      <c r="G44" s="327"/>
      <c r="H44" s="327"/>
      <c r="I44" s="327"/>
      <c r="J44" s="327"/>
      <c r="K44" s="327"/>
      <c r="L44" s="328"/>
      <c r="M44" s="328"/>
      <c r="N44" s="59"/>
      <c r="O44" s="268"/>
      <c r="P44" s="325">
        <v>69</v>
      </c>
    </row>
    <row r="45" s="1" customFormat="1" spans="1:16">
      <c r="A45" s="325"/>
      <c r="B45" s="325"/>
      <c r="C45" s="325"/>
      <c r="D45" s="45"/>
      <c r="E45" s="45"/>
      <c r="F45" s="326">
        <f t="shared" si="1"/>
        <v>0</v>
      </c>
      <c r="G45" s="327"/>
      <c r="H45" s="327"/>
      <c r="I45" s="327"/>
      <c r="J45" s="327"/>
      <c r="K45" s="327"/>
      <c r="L45" s="328"/>
      <c r="M45" s="328"/>
      <c r="N45" s="59"/>
      <c r="O45" s="268"/>
      <c r="P45" s="325">
        <v>65</v>
      </c>
    </row>
    <row r="46" s="1" customFormat="1" ht="15" customHeight="1" spans="1:16">
      <c r="A46" s="325"/>
      <c r="B46" s="325"/>
      <c r="C46" s="325"/>
      <c r="D46" s="45"/>
      <c r="E46" s="45"/>
      <c r="F46" s="326">
        <f t="shared" si="1"/>
        <v>0</v>
      </c>
      <c r="G46" s="327"/>
      <c r="H46" s="327"/>
      <c r="I46" s="327"/>
      <c r="J46" s="327"/>
      <c r="K46" s="327"/>
      <c r="L46" s="328"/>
      <c r="M46" s="328"/>
      <c r="N46" s="59"/>
      <c r="O46" s="268"/>
      <c r="P46" s="325">
        <v>185</v>
      </c>
    </row>
    <row r="47" s="1" customFormat="1" spans="1:16">
      <c r="A47" s="325"/>
      <c r="B47" s="325"/>
      <c r="C47" s="325"/>
      <c r="D47" s="45"/>
      <c r="E47" s="45"/>
      <c r="F47" s="326">
        <f t="shared" si="1"/>
        <v>0</v>
      </c>
      <c r="G47" s="327"/>
      <c r="H47" s="327"/>
      <c r="I47" s="327"/>
      <c r="J47" s="327"/>
      <c r="K47" s="327"/>
      <c r="L47" s="328"/>
      <c r="M47" s="328"/>
      <c r="N47" s="59"/>
      <c r="O47" s="268"/>
      <c r="P47" s="325">
        <v>41</v>
      </c>
    </row>
    <row r="48" s="1" customFormat="1" spans="1:16">
      <c r="A48" s="331"/>
      <c r="B48" s="331"/>
      <c r="C48" s="332"/>
      <c r="D48" s="45"/>
      <c r="E48" s="45"/>
      <c r="F48" s="326">
        <f t="shared" si="1"/>
        <v>0</v>
      </c>
      <c r="G48" s="327"/>
      <c r="H48" s="327"/>
      <c r="I48" s="327"/>
      <c r="J48" s="327"/>
      <c r="K48" s="327"/>
      <c r="L48" s="328"/>
      <c r="M48" s="328"/>
      <c r="N48" s="329"/>
      <c r="O48" s="269"/>
      <c r="P48" s="325">
        <v>0</v>
      </c>
    </row>
    <row r="49" s="1" customFormat="1" spans="1:16">
      <c r="A49" s="331"/>
      <c r="B49" s="331"/>
      <c r="C49" s="332"/>
      <c r="D49" s="45"/>
      <c r="E49" s="45"/>
      <c r="F49" s="326">
        <f t="shared" si="1"/>
        <v>0</v>
      </c>
      <c r="G49" s="327"/>
      <c r="H49" s="327"/>
      <c r="I49" s="327"/>
      <c r="J49" s="327"/>
      <c r="K49" s="327"/>
      <c r="L49" s="328"/>
      <c r="M49" s="328"/>
      <c r="N49" s="59"/>
      <c r="O49" s="268"/>
      <c r="P49" s="325">
        <v>27</v>
      </c>
    </row>
    <row r="50" s="1" customFormat="1" spans="1:16">
      <c r="A50" s="325"/>
      <c r="B50" s="325"/>
      <c r="C50" s="325"/>
      <c r="D50" s="45"/>
      <c r="E50" s="45"/>
      <c r="F50" s="326">
        <f t="shared" si="1"/>
        <v>0</v>
      </c>
      <c r="G50" s="327"/>
      <c r="H50" s="327"/>
      <c r="I50" s="327"/>
      <c r="J50" s="327"/>
      <c r="K50" s="327"/>
      <c r="L50" s="328"/>
      <c r="M50" s="328"/>
      <c r="N50" s="59"/>
      <c r="O50" s="268"/>
      <c r="P50" s="325">
        <v>32</v>
      </c>
    </row>
    <row r="51" s="1" customFormat="1" spans="1:16">
      <c r="A51" s="325"/>
      <c r="B51" s="325"/>
      <c r="C51" s="325"/>
      <c r="D51" s="45"/>
      <c r="E51" s="45"/>
      <c r="F51" s="326">
        <f t="shared" si="1"/>
        <v>0</v>
      </c>
      <c r="G51" s="327"/>
      <c r="H51" s="327"/>
      <c r="I51" s="327"/>
      <c r="J51" s="327"/>
      <c r="K51" s="327"/>
      <c r="L51" s="328"/>
      <c r="M51" s="328"/>
      <c r="N51" s="59"/>
      <c r="O51" s="268"/>
      <c r="P51" s="325">
        <v>50</v>
      </c>
    </row>
    <row r="52" s="1" customFormat="1" spans="1:16">
      <c r="A52" s="325"/>
      <c r="B52" s="325"/>
      <c r="C52" s="325"/>
      <c r="D52" s="45"/>
      <c r="E52" s="45"/>
      <c r="F52" s="326">
        <f t="shared" si="1"/>
        <v>0</v>
      </c>
      <c r="G52" s="327"/>
      <c r="H52" s="327"/>
      <c r="I52" s="327"/>
      <c r="J52" s="327"/>
      <c r="K52" s="327"/>
      <c r="L52" s="328"/>
      <c r="M52" s="328"/>
      <c r="N52" s="329"/>
      <c r="O52" s="269"/>
      <c r="P52" s="325">
        <v>0</v>
      </c>
    </row>
    <row r="53" s="1" customFormat="1" spans="1:16">
      <c r="A53" s="325"/>
      <c r="B53" s="325"/>
      <c r="C53" s="325"/>
      <c r="D53" s="45"/>
      <c r="E53" s="45"/>
      <c r="F53" s="326">
        <f t="shared" si="1"/>
        <v>0</v>
      </c>
      <c r="G53" s="327"/>
      <c r="H53" s="327"/>
      <c r="I53" s="327"/>
      <c r="J53" s="327"/>
      <c r="K53" s="327"/>
      <c r="L53" s="328"/>
      <c r="M53" s="328"/>
      <c r="N53" s="329"/>
      <c r="O53" s="269"/>
      <c r="P53" s="325">
        <v>0</v>
      </c>
    </row>
    <row r="54" s="1" customFormat="1" spans="1:16">
      <c r="A54" s="325"/>
      <c r="B54" s="325"/>
      <c r="C54" s="325"/>
      <c r="D54" s="45"/>
      <c r="E54" s="45"/>
      <c r="F54" s="326">
        <f t="shared" si="1"/>
        <v>0</v>
      </c>
      <c r="G54" s="327"/>
      <c r="H54" s="327"/>
      <c r="I54" s="327"/>
      <c r="J54" s="327"/>
      <c r="K54" s="327"/>
      <c r="L54" s="328"/>
      <c r="M54" s="328"/>
      <c r="N54" s="59"/>
      <c r="O54" s="268"/>
      <c r="P54" s="325">
        <v>0</v>
      </c>
    </row>
    <row r="55" s="1" customFormat="1" spans="1:16">
      <c r="A55" s="325"/>
      <c r="B55" s="325"/>
      <c r="C55" s="325"/>
      <c r="D55" s="45"/>
      <c r="E55" s="45"/>
      <c r="F55" s="326">
        <f t="shared" si="1"/>
        <v>0</v>
      </c>
      <c r="G55" s="327"/>
      <c r="H55" s="327"/>
      <c r="I55" s="327"/>
      <c r="J55" s="327"/>
      <c r="K55" s="327"/>
      <c r="L55" s="328"/>
      <c r="M55" s="328"/>
      <c r="N55" s="329"/>
      <c r="O55" s="268"/>
      <c r="P55" s="325">
        <v>0</v>
      </c>
    </row>
    <row r="56" s="1" customFormat="1" spans="1:16">
      <c r="A56" s="325"/>
      <c r="B56" s="325"/>
      <c r="C56" s="325"/>
      <c r="D56" s="45"/>
      <c r="E56" s="45"/>
      <c r="F56" s="326">
        <f t="shared" si="1"/>
        <v>0</v>
      </c>
      <c r="G56" s="327"/>
      <c r="H56" s="327"/>
      <c r="I56" s="327"/>
      <c r="J56" s="327"/>
      <c r="K56" s="327"/>
      <c r="L56" s="328"/>
      <c r="M56" s="328"/>
      <c r="N56" s="329"/>
      <c r="O56" s="269"/>
      <c r="P56" s="325">
        <v>0</v>
      </c>
    </row>
    <row r="57" s="1" customFormat="1" spans="1:16">
      <c r="A57" s="325"/>
      <c r="B57" s="325"/>
      <c r="C57" s="325"/>
      <c r="D57" s="45"/>
      <c r="E57" s="45"/>
      <c r="F57" s="326">
        <f t="shared" si="1"/>
        <v>0</v>
      </c>
      <c r="G57" s="327"/>
      <c r="H57" s="327"/>
      <c r="I57" s="327"/>
      <c r="J57" s="327"/>
      <c r="K57" s="327"/>
      <c r="L57" s="328"/>
      <c r="M57" s="328"/>
      <c r="N57" s="329"/>
      <c r="O57" s="269"/>
      <c r="P57" s="325">
        <v>0</v>
      </c>
    </row>
    <row r="58" s="1" customFormat="1" spans="1:16">
      <c r="A58" s="325"/>
      <c r="B58" s="325"/>
      <c r="C58" s="325"/>
      <c r="D58" s="45"/>
      <c r="E58" s="45"/>
      <c r="F58" s="326">
        <f t="shared" si="1"/>
        <v>0</v>
      </c>
      <c r="G58" s="327"/>
      <c r="H58" s="327"/>
      <c r="I58" s="327"/>
      <c r="J58" s="327"/>
      <c r="K58" s="327"/>
      <c r="L58" s="328"/>
      <c r="M58" s="328"/>
      <c r="N58" s="59"/>
      <c r="O58" s="268"/>
      <c r="P58" s="325">
        <v>0</v>
      </c>
    </row>
    <row r="59" s="1" customFormat="1" spans="1:16">
      <c r="A59" s="325"/>
      <c r="B59" s="325"/>
      <c r="C59" s="325"/>
      <c r="D59" s="45"/>
      <c r="E59" s="45"/>
      <c r="F59" s="326">
        <f t="shared" si="1"/>
        <v>0</v>
      </c>
      <c r="G59" s="327"/>
      <c r="H59" s="327"/>
      <c r="I59" s="327"/>
      <c r="J59" s="327"/>
      <c r="K59" s="327"/>
      <c r="L59" s="328"/>
      <c r="M59" s="328"/>
      <c r="N59" s="59"/>
      <c r="O59" s="268"/>
      <c r="P59" s="325">
        <v>0</v>
      </c>
    </row>
    <row r="60" s="1" customFormat="1" spans="1:16">
      <c r="A60" s="325"/>
      <c r="B60" s="325"/>
      <c r="C60" s="325"/>
      <c r="D60" s="45"/>
      <c r="E60" s="45"/>
      <c r="F60" s="326">
        <f t="shared" si="1"/>
        <v>0</v>
      </c>
      <c r="G60" s="327"/>
      <c r="H60" s="327"/>
      <c r="I60" s="327"/>
      <c r="J60" s="327"/>
      <c r="K60" s="327"/>
      <c r="L60" s="328"/>
      <c r="M60" s="328"/>
      <c r="N60" s="329"/>
      <c r="O60" s="269"/>
      <c r="P60" s="325">
        <v>0</v>
      </c>
    </row>
    <row r="61" s="1" customFormat="1" spans="1:16">
      <c r="A61" s="325"/>
      <c r="B61" s="325"/>
      <c r="C61" s="325"/>
      <c r="D61" s="45"/>
      <c r="E61" s="45"/>
      <c r="F61" s="326">
        <f t="shared" si="1"/>
        <v>0</v>
      </c>
      <c r="G61" s="327"/>
      <c r="H61" s="327"/>
      <c r="I61" s="327"/>
      <c r="J61" s="327"/>
      <c r="K61" s="327"/>
      <c r="L61" s="328"/>
      <c r="M61" s="328"/>
      <c r="N61" s="59"/>
      <c r="O61" s="268"/>
      <c r="P61" s="325">
        <v>0</v>
      </c>
    </row>
    <row r="62" s="1" customFormat="1" spans="1:16">
      <c r="A62" s="331"/>
      <c r="B62" s="331"/>
      <c r="C62" s="332"/>
      <c r="D62" s="45"/>
      <c r="E62" s="45"/>
      <c r="F62" s="326">
        <f t="shared" si="1"/>
        <v>0</v>
      </c>
      <c r="G62" s="327"/>
      <c r="H62" s="327"/>
      <c r="I62" s="327"/>
      <c r="J62" s="327"/>
      <c r="K62" s="327"/>
      <c r="L62" s="328"/>
      <c r="M62" s="328"/>
      <c r="N62" s="59"/>
      <c r="O62" s="268"/>
      <c r="P62" s="325">
        <v>28</v>
      </c>
    </row>
    <row r="63" s="1" customFormat="1" spans="1:16">
      <c r="A63" s="325"/>
      <c r="B63" s="325"/>
      <c r="C63" s="325"/>
      <c r="D63" s="45"/>
      <c r="E63" s="45"/>
      <c r="F63" s="326">
        <f t="shared" si="1"/>
        <v>0</v>
      </c>
      <c r="G63" s="327"/>
      <c r="H63" s="327"/>
      <c r="I63" s="327"/>
      <c r="J63" s="327"/>
      <c r="K63" s="327"/>
      <c r="L63" s="328"/>
      <c r="M63" s="328"/>
      <c r="N63" s="59"/>
      <c r="O63" s="269"/>
      <c r="P63" s="325">
        <v>0</v>
      </c>
    </row>
    <row r="64" s="1" customFormat="1" spans="1:16">
      <c r="A64" s="325"/>
      <c r="B64" s="325"/>
      <c r="C64" s="325"/>
      <c r="D64" s="45"/>
      <c r="E64" s="45"/>
      <c r="F64" s="326">
        <f t="shared" si="1"/>
        <v>0</v>
      </c>
      <c r="G64" s="327"/>
      <c r="H64" s="327"/>
      <c r="I64" s="327"/>
      <c r="J64" s="327"/>
      <c r="K64" s="327"/>
      <c r="L64" s="328"/>
      <c r="M64" s="328"/>
      <c r="N64" s="59"/>
      <c r="O64" s="268"/>
      <c r="P64" s="325">
        <v>320</v>
      </c>
    </row>
    <row r="65" s="1" customFormat="1" spans="1:16">
      <c r="A65" s="325"/>
      <c r="B65" s="325"/>
      <c r="C65" s="325"/>
      <c r="D65" s="45"/>
      <c r="E65" s="45"/>
      <c r="F65" s="326">
        <f t="shared" si="1"/>
        <v>0</v>
      </c>
      <c r="G65" s="327"/>
      <c r="H65" s="327"/>
      <c r="I65" s="327"/>
      <c r="J65" s="327"/>
      <c r="K65" s="327"/>
      <c r="L65" s="328"/>
      <c r="M65" s="328"/>
      <c r="N65" s="59"/>
      <c r="O65" s="268"/>
      <c r="P65" s="325">
        <v>10</v>
      </c>
    </row>
    <row r="66" s="1" customFormat="1" spans="1:16">
      <c r="A66" s="325"/>
      <c r="B66" s="325"/>
      <c r="C66" s="325"/>
      <c r="D66" s="45"/>
      <c r="E66" s="45"/>
      <c r="F66" s="326">
        <f t="shared" si="1"/>
        <v>0</v>
      </c>
      <c r="G66" s="327"/>
      <c r="H66" s="327"/>
      <c r="I66" s="327"/>
      <c r="J66" s="327"/>
      <c r="K66" s="327"/>
      <c r="L66" s="328"/>
      <c r="M66" s="328"/>
      <c r="N66" s="59"/>
      <c r="O66" s="268"/>
      <c r="P66" s="325">
        <v>43</v>
      </c>
    </row>
    <row r="67" spans="1:16">
      <c r="E67" s="324"/>
    </row>
    <row r="68" spans="1:16">
      <c r="E68" s="324"/>
    </row>
    <row r="69" spans="1:16">
      <c r="E69" s="324"/>
    </row>
    <row r="70" spans="1:16">
      <c r="E70" s="324"/>
    </row>
    <row r="71" spans="1:16">
      <c r="E71" s="324"/>
    </row>
    <row r="72" spans="1:16">
      <c r="E72" s="324"/>
    </row>
    <row r="73" spans="1:16">
      <c r="E73" s="324"/>
    </row>
    <row r="74" spans="1:16">
      <c r="E74" s="324"/>
    </row>
    <row r="75" spans="1:16">
      <c r="E75" s="324"/>
    </row>
    <row r="76" spans="1:16">
      <c r="E76" s="324"/>
    </row>
    <row r="77" spans="1:16">
      <c r="E77" s="324"/>
    </row>
    <row r="78" spans="1:16">
      <c r="E78" s="324"/>
    </row>
    <row r="79" spans="1:16">
      <c r="E79" s="324"/>
    </row>
    <row r="80" spans="1:16">
      <c r="E80" s="324"/>
    </row>
    <row r="81" spans="5:5">
      <c r="E81" s="324"/>
    </row>
    <row r="82" spans="5:5">
      <c r="E82" s="324"/>
    </row>
    <row r="83" spans="5:5">
      <c r="E83" s="324"/>
    </row>
    <row r="84" spans="5:5">
      <c r="E84" s="324"/>
    </row>
    <row r="85" spans="5:5">
      <c r="E85" s="324"/>
    </row>
    <row r="86" spans="5:5">
      <c r="E86" s="324"/>
    </row>
    <row r="87" spans="5:5">
      <c r="E87" s="324"/>
    </row>
    <row r="88" spans="5:5">
      <c r="E88" s="324"/>
    </row>
    <row r="89" spans="5:5">
      <c r="E89" s="324"/>
    </row>
    <row r="90" spans="5:5">
      <c r="E90" s="324"/>
    </row>
    <row r="91" spans="5:5">
      <c r="E91" s="324"/>
    </row>
    <row r="92" spans="5:5">
      <c r="E92" s="324"/>
    </row>
    <row r="93" spans="5:5">
      <c r="E93" s="324"/>
    </row>
    <row r="94" spans="5:5">
      <c r="E94" s="324"/>
    </row>
    <row r="95" spans="5:5">
      <c r="E95" s="324"/>
    </row>
    <row r="96" spans="5:5">
      <c r="E96" s="324"/>
    </row>
    <row r="97" spans="5:5">
      <c r="E97" s="324"/>
    </row>
  </sheetData>
  <autoFilter xmlns:etc="http://www.wps.cn/officeDocument/2017/etCustomData" ref="A8:P66" etc:filterBottomFollowUsedRange="0">
    <sortState ref="A8:P66">
      <sortCondition ref="H8:H66" descending="1"/>
    </sortState>
    <extLst/>
  </autoFilter>
  <mergeCells count="19">
    <mergeCell ref="E1:I1"/>
    <mergeCell ref="G7:K7"/>
    <mergeCell ref="A8:A9"/>
    <mergeCell ref="B8:B9"/>
    <mergeCell ref="C1:C2"/>
    <mergeCell ref="C8:C9"/>
    <mergeCell ref="D8:D9"/>
    <mergeCell ref="E8:E9"/>
    <mergeCell ref="F8:F9"/>
    <mergeCell ref="G8:G9"/>
    <mergeCell ref="H8:H9"/>
    <mergeCell ref="I8:I9"/>
    <mergeCell ref="J8:J9"/>
    <mergeCell ref="K8:K9"/>
    <mergeCell ref="L8:L9"/>
    <mergeCell ref="M8:M9"/>
    <mergeCell ref="N8:N9"/>
    <mergeCell ref="O8:O9"/>
    <mergeCell ref="P8:P9"/>
  </mergeCells>
  <conditionalFormatting sqref="D5:I5">
    <cfRule type="cellIs" dxfId="0" priority="1" operator="lessThan">
      <formula>0</formula>
    </cfRule>
    <cfRule type="cellIs" dxfId="1" priority="2" operator="greaterThan">
      <formula>0</formula>
    </cfRule>
  </conditionalFormatting>
  <pageMargins left="0.7" right="0.7" top="0.75" bottom="0.75" header="0.3" footer="0.3"/>
  <pageSetup paperSize="1" orientation="portrait"/>
  <headerFooter>
    <oddFooter>&amp;L&amp;1#&amp;"Calibri"&amp;10&amp;K000000John Keells Group - Confidential</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49977111117893"/>
  </sheetPr>
  <dimension ref="A2:P60"/>
  <sheetViews>
    <sheetView view="pageBreakPreview" zoomScale="85" zoomScaleNormal="100" topLeftCell="A10" workbookViewId="0">
      <selection activeCell="A16" sqref="A16:N16"/>
    </sheetView>
  </sheetViews>
  <sheetFormatPr defaultColWidth="9" defaultRowHeight="14.4"/>
  <cols>
    <col min="1" max="1" width="21.75" customWidth="1"/>
    <col min="2" max="2" width="8.62962962962963" style="244" customWidth="1"/>
    <col min="3" max="3" width="12.8796296296296" style="244" customWidth="1"/>
    <col min="4" max="12" width="12.8796296296296" customWidth="1"/>
    <col min="13" max="13" width="21.1203703703704" customWidth="1"/>
    <col min="14" max="14" width="21.75" customWidth="1"/>
    <col min="15" max="15" width="11.6296296296296" customWidth="1"/>
    <col min="16" max="16" width="16.6296296296296" customWidth="1"/>
    <col min="17" max="17" width="12.75" customWidth="1"/>
    <col min="18" max="18" width="14.3703703703704" customWidth="1"/>
    <col min="19" max="19" width="21" customWidth="1"/>
  </cols>
  <sheetData>
    <row r="2" s="95" customFormat="1" spans="1:15">
      <c r="A2" s="106" t="s">
        <v>17</v>
      </c>
      <c r="B2" s="106"/>
      <c r="C2" s="106"/>
      <c r="D2" s="106"/>
      <c r="E2" s="106"/>
      <c r="F2" s="106"/>
      <c r="G2" s="106"/>
      <c r="H2" s="106"/>
      <c r="I2" s="106"/>
      <c r="J2" s="106"/>
      <c r="K2" s="106"/>
      <c r="L2" s="106"/>
      <c r="M2" s="106"/>
      <c r="N2" s="106"/>
      <c r="O2" s="106"/>
    </row>
    <row r="4" spans="1:15">
      <c r="C4" s="107" t="s">
        <v>18</v>
      </c>
      <c r="D4" s="107"/>
      <c r="E4" s="107"/>
      <c r="F4" s="108"/>
      <c r="G4" s="109" t="s">
        <v>19</v>
      </c>
      <c r="H4" s="110"/>
      <c r="I4" s="111"/>
      <c r="J4" s="109" t="s">
        <v>20</v>
      </c>
      <c r="K4" s="110"/>
      <c r="L4" s="111"/>
    </row>
    <row r="5" spans="1:15">
      <c r="A5" s="112" t="s">
        <v>21</v>
      </c>
      <c r="B5" s="112" t="s">
        <v>22</v>
      </c>
      <c r="C5" s="113">
        <v>43853</v>
      </c>
      <c r="D5" s="114" t="s">
        <v>23</v>
      </c>
      <c r="E5" s="114" t="s">
        <v>24</v>
      </c>
      <c r="F5" s="114" t="s">
        <v>25</v>
      </c>
      <c r="G5" s="113">
        <v>43853</v>
      </c>
      <c r="H5" s="114" t="s">
        <v>26</v>
      </c>
      <c r="I5" s="114" t="s">
        <v>27</v>
      </c>
      <c r="J5" s="113">
        <v>43853</v>
      </c>
      <c r="K5" s="114" t="s">
        <v>26</v>
      </c>
      <c r="L5" s="114" t="s">
        <v>27</v>
      </c>
      <c r="M5" s="271" t="s">
        <v>28</v>
      </c>
      <c r="N5" s="272"/>
    </row>
    <row r="6" spans="1:15">
      <c r="A6" s="273" t="s">
        <v>532</v>
      </c>
      <c r="B6" s="164">
        <v>27</v>
      </c>
      <c r="C6" s="274"/>
      <c r="D6" s="57">
        <v>49729.34</v>
      </c>
      <c r="E6" s="259">
        <v>0</v>
      </c>
      <c r="F6" s="275">
        <f>E6-D6</f>
        <v>-49729.34</v>
      </c>
      <c r="G6" s="276"/>
      <c r="H6" s="216"/>
      <c r="I6" s="216"/>
      <c r="J6" s="216"/>
      <c r="K6" s="277"/>
      <c r="L6" s="277"/>
      <c r="M6" s="278"/>
      <c r="N6" s="278"/>
    </row>
    <row r="7" spans="1:15">
      <c r="A7" s="273" t="s">
        <v>533</v>
      </c>
      <c r="B7" s="164">
        <v>7532</v>
      </c>
      <c r="C7" s="274"/>
      <c r="D7" s="57">
        <v>18143.87</v>
      </c>
      <c r="E7" s="259">
        <v>0</v>
      </c>
      <c r="F7" s="275">
        <f t="shared" ref="F7:F14" si="0">E7-D7</f>
        <v>-18143.87</v>
      </c>
      <c r="G7" s="276"/>
      <c r="H7" s="216"/>
      <c r="I7" s="216"/>
      <c r="J7" s="216"/>
      <c r="K7" s="277"/>
      <c r="L7" s="277"/>
      <c r="M7" s="279"/>
      <c r="N7" s="279"/>
    </row>
    <row r="8" spans="1:15">
      <c r="A8" s="273" t="s">
        <v>534</v>
      </c>
      <c r="B8" s="164">
        <v>7856</v>
      </c>
      <c r="C8" s="274"/>
      <c r="D8" s="57">
        <v>17546.12</v>
      </c>
      <c r="E8" s="259">
        <v>0</v>
      </c>
      <c r="F8" s="275">
        <f t="shared" si="0"/>
        <v>-17546.12</v>
      </c>
      <c r="G8" s="276"/>
      <c r="H8" s="216"/>
      <c r="I8" s="216"/>
      <c r="J8" s="216"/>
      <c r="K8" s="277"/>
      <c r="L8" s="277"/>
      <c r="M8" s="279"/>
      <c r="N8" s="279"/>
    </row>
    <row r="9" spans="1:15">
      <c r="A9" s="273" t="s">
        <v>535</v>
      </c>
      <c r="B9" s="164">
        <v>7713</v>
      </c>
      <c r="C9" s="274"/>
      <c r="D9" s="57">
        <v>16436.53</v>
      </c>
      <c r="E9" s="259">
        <v>0</v>
      </c>
      <c r="F9" s="275">
        <f t="shared" si="0"/>
        <v>-16436.53</v>
      </c>
      <c r="G9" s="276"/>
      <c r="H9" s="216"/>
      <c r="I9" s="216"/>
      <c r="J9" s="216"/>
      <c r="K9" s="277"/>
      <c r="L9" s="277"/>
      <c r="M9" s="279"/>
      <c r="N9" s="279"/>
    </row>
    <row r="10" spans="1:15">
      <c r="A10" s="273" t="s">
        <v>536</v>
      </c>
      <c r="B10" s="164">
        <v>7724</v>
      </c>
      <c r="C10" s="274"/>
      <c r="D10" s="57">
        <v>14837.76</v>
      </c>
      <c r="E10" s="259">
        <v>0</v>
      </c>
      <c r="F10" s="275">
        <f t="shared" si="0"/>
        <v>-14837.76</v>
      </c>
      <c r="G10" s="276"/>
      <c r="H10" s="216"/>
      <c r="I10" s="216"/>
      <c r="J10" s="216"/>
      <c r="K10" s="277"/>
      <c r="L10" s="277"/>
      <c r="M10" s="279"/>
      <c r="N10" s="279"/>
    </row>
    <row r="11" spans="1:15">
      <c r="A11" s="273" t="s">
        <v>537</v>
      </c>
      <c r="B11" s="164">
        <v>7850</v>
      </c>
      <c r="C11" s="274"/>
      <c r="D11" s="57">
        <v>14618.2</v>
      </c>
      <c r="E11" s="259">
        <v>0</v>
      </c>
      <c r="F11" s="275">
        <f t="shared" si="0"/>
        <v>-14618.2</v>
      </c>
      <c r="G11" s="276"/>
      <c r="H11" s="216"/>
      <c r="I11" s="216"/>
      <c r="J11" s="216"/>
      <c r="K11" s="277"/>
      <c r="L11" s="277"/>
      <c r="M11" s="279"/>
      <c r="N11" s="279"/>
    </row>
    <row r="12" spans="1:15">
      <c r="A12" s="273" t="s">
        <v>538</v>
      </c>
      <c r="B12" s="164">
        <v>7557</v>
      </c>
      <c r="C12" s="274"/>
      <c r="D12" s="57">
        <v>13641.68</v>
      </c>
      <c r="E12" s="259">
        <v>0</v>
      </c>
      <c r="F12" s="275">
        <f t="shared" si="0"/>
        <v>-13641.68</v>
      </c>
      <c r="G12" s="276"/>
      <c r="H12" s="216"/>
      <c r="I12" s="216"/>
      <c r="J12" s="216"/>
      <c r="K12" s="277"/>
      <c r="L12" s="277"/>
      <c r="M12" s="279"/>
      <c r="N12" s="279"/>
    </row>
    <row r="13" spans="1:15">
      <c r="A13" s="233" t="s">
        <v>539</v>
      </c>
      <c r="B13" s="164">
        <v>2215</v>
      </c>
      <c r="C13" s="274"/>
      <c r="D13" s="166">
        <v>13428.08</v>
      </c>
      <c r="E13" s="171">
        <v>0</v>
      </c>
      <c r="F13" s="275">
        <f t="shared" si="0"/>
        <v>-13428.08</v>
      </c>
      <c r="G13" s="280"/>
      <c r="H13" s="280"/>
      <c r="I13" s="280"/>
      <c r="J13" s="280"/>
      <c r="K13" s="280"/>
      <c r="L13" s="280"/>
      <c r="M13" s="279"/>
      <c r="N13" s="279"/>
    </row>
    <row r="14" spans="1:15">
      <c r="A14" s="233" t="s">
        <v>540</v>
      </c>
      <c r="B14" s="164">
        <v>7544</v>
      </c>
      <c r="C14" s="274"/>
      <c r="D14" s="166">
        <v>12699</v>
      </c>
      <c r="E14" s="171">
        <v>0</v>
      </c>
      <c r="F14" s="275">
        <f t="shared" si="0"/>
        <v>-12699</v>
      </c>
      <c r="G14" s="280"/>
      <c r="H14" s="280"/>
      <c r="I14" s="280"/>
      <c r="J14" s="280"/>
      <c r="K14" s="280"/>
      <c r="L14" s="280"/>
      <c r="M14" s="279"/>
      <c r="N14" s="279"/>
    </row>
    <row r="16" spans="1:15">
      <c r="A16" s="106" t="s">
        <v>58</v>
      </c>
      <c r="B16" s="106"/>
      <c r="C16" s="106"/>
      <c r="D16" s="106"/>
      <c r="E16" s="106"/>
      <c r="F16" s="106"/>
      <c r="G16" s="106"/>
      <c r="H16" s="106"/>
      <c r="I16" s="106"/>
      <c r="J16" s="106"/>
      <c r="K16" s="106"/>
      <c r="L16" s="106"/>
      <c r="M16" s="106"/>
      <c r="N16" s="106"/>
    </row>
    <row r="18" spans="1:16">
      <c r="C18" s="107" t="s">
        <v>18</v>
      </c>
      <c r="D18" s="107"/>
      <c r="E18" s="107"/>
      <c r="F18" s="108"/>
      <c r="G18" s="109" t="s">
        <v>19</v>
      </c>
      <c r="H18" s="110"/>
      <c r="I18" s="111"/>
      <c r="J18" s="109" t="s">
        <v>20</v>
      </c>
      <c r="K18" s="110"/>
      <c r="L18" s="111"/>
    </row>
    <row r="19" spans="1:16">
      <c r="A19" s="112" t="s">
        <v>21</v>
      </c>
      <c r="B19" s="112" t="s">
        <v>22</v>
      </c>
      <c r="C19" s="113">
        <v>43853</v>
      </c>
      <c r="D19" s="114" t="s">
        <v>23</v>
      </c>
      <c r="E19" s="114" t="s">
        <v>24</v>
      </c>
      <c r="F19" s="114" t="s">
        <v>25</v>
      </c>
      <c r="G19" s="113">
        <v>43853</v>
      </c>
      <c r="H19" s="114" t="s">
        <v>26</v>
      </c>
      <c r="I19" s="114" t="s">
        <v>27</v>
      </c>
      <c r="J19" s="113">
        <v>43853</v>
      </c>
      <c r="K19" s="114" t="s">
        <v>26</v>
      </c>
      <c r="L19" s="114" t="s">
        <v>27</v>
      </c>
      <c r="M19" s="271" t="s">
        <v>28</v>
      </c>
      <c r="N19" s="272"/>
      <c r="O19" s="127" t="s">
        <v>95</v>
      </c>
      <c r="P19" s="281"/>
    </row>
    <row r="20" s="97" customFormat="1" spans="1:16">
      <c r="A20" s="188" t="s">
        <v>541</v>
      </c>
      <c r="B20" s="155">
        <v>3137</v>
      </c>
      <c r="C20" s="282"/>
      <c r="D20" s="157">
        <v>116248.16</v>
      </c>
      <c r="E20" s="157">
        <v>130173.16</v>
      </c>
      <c r="F20" s="283">
        <f>E20-D20</f>
        <v>13925</v>
      </c>
      <c r="G20" s="284"/>
      <c r="H20" s="285"/>
      <c r="I20" s="285"/>
      <c r="J20" s="285"/>
      <c r="K20" s="286"/>
      <c r="L20" s="286"/>
      <c r="M20" s="287" t="s">
        <v>50</v>
      </c>
      <c r="N20" s="288"/>
      <c r="O20" s="157">
        <v>104341.54</v>
      </c>
      <c r="P20" s="289" t="s">
        <v>542</v>
      </c>
    </row>
    <row r="21" s="97" customFormat="1" spans="1:16">
      <c r="A21" s="188" t="s">
        <v>543</v>
      </c>
      <c r="B21" s="155">
        <v>6723</v>
      </c>
      <c r="C21" s="282"/>
      <c r="D21" s="157">
        <v>44570.69</v>
      </c>
      <c r="E21" s="157">
        <v>65658.31</v>
      </c>
      <c r="F21" s="283">
        <f t="shared" ref="F21:F29" si="1">E21-D21</f>
        <v>21087.62</v>
      </c>
      <c r="G21" s="290"/>
      <c r="H21" s="285"/>
      <c r="I21" s="285"/>
      <c r="J21" s="285"/>
      <c r="K21" s="286"/>
      <c r="L21" s="286"/>
      <c r="M21" s="287" t="s">
        <v>50</v>
      </c>
      <c r="N21" s="288"/>
      <c r="O21" s="157">
        <v>18309.79</v>
      </c>
      <c r="P21" s="289"/>
    </row>
    <row r="22" s="97" customFormat="1" spans="1:16">
      <c r="A22" s="188" t="s">
        <v>544</v>
      </c>
      <c r="B22" s="155">
        <v>6491</v>
      </c>
      <c r="C22" s="282"/>
      <c r="D22" s="157">
        <v>18620.4</v>
      </c>
      <c r="E22" s="157">
        <v>30815.13</v>
      </c>
      <c r="F22" s="283">
        <f t="shared" si="1"/>
        <v>12194.73</v>
      </c>
      <c r="G22" s="290"/>
      <c r="H22" s="285"/>
      <c r="I22" s="285"/>
      <c r="J22" s="285"/>
      <c r="K22" s="286"/>
      <c r="L22" s="286"/>
      <c r="M22" s="287" t="s">
        <v>50</v>
      </c>
      <c r="N22" s="288"/>
      <c r="O22" s="157">
        <v>55801.7</v>
      </c>
      <c r="P22" s="289"/>
    </row>
    <row r="23" s="97" customFormat="1" spans="1:16">
      <c r="A23" s="188" t="s">
        <v>545</v>
      </c>
      <c r="B23" s="155">
        <v>7621</v>
      </c>
      <c r="C23" s="282"/>
      <c r="D23" s="157">
        <v>43814.77</v>
      </c>
      <c r="E23" s="157">
        <v>43814.77</v>
      </c>
      <c r="F23" s="291">
        <f t="shared" si="1"/>
        <v>0</v>
      </c>
      <c r="G23" s="290"/>
      <c r="H23" s="285"/>
      <c r="I23" s="285"/>
      <c r="J23" s="285"/>
      <c r="K23" s="286"/>
      <c r="L23" s="286"/>
      <c r="M23" s="292" t="s">
        <v>68</v>
      </c>
      <c r="N23" s="293"/>
      <c r="O23" s="157">
        <v>45945.56</v>
      </c>
      <c r="P23" s="289"/>
    </row>
    <row r="24" s="97" customFormat="1" ht="31.5" customHeight="1" spans="1:16">
      <c r="A24" s="188" t="s">
        <v>546</v>
      </c>
      <c r="B24" s="155">
        <v>340</v>
      </c>
      <c r="C24" s="282"/>
      <c r="D24" s="157">
        <v>58305.2</v>
      </c>
      <c r="E24" s="157">
        <v>49188.62</v>
      </c>
      <c r="F24" s="291">
        <f t="shared" si="1"/>
        <v>-9116.57999999999</v>
      </c>
      <c r="G24" s="290"/>
      <c r="H24" s="285"/>
      <c r="I24" s="286"/>
      <c r="J24" s="286"/>
      <c r="K24" s="286"/>
      <c r="L24" s="286"/>
      <c r="M24" s="294" t="s">
        <v>547</v>
      </c>
      <c r="N24" s="294"/>
      <c r="O24" s="157">
        <v>50736.87</v>
      </c>
      <c r="P24" s="289" t="s">
        <v>548</v>
      </c>
    </row>
    <row r="25" s="97" customFormat="1" spans="1:16">
      <c r="A25" s="194" t="s">
        <v>549</v>
      </c>
      <c r="B25" s="195">
        <v>359</v>
      </c>
      <c r="C25" s="295"/>
      <c r="D25" s="157">
        <v>9346.36</v>
      </c>
      <c r="E25" s="157">
        <v>1280.78</v>
      </c>
      <c r="F25" s="291">
        <f t="shared" si="1"/>
        <v>-8065.58</v>
      </c>
      <c r="G25" s="290"/>
      <c r="H25" s="285"/>
      <c r="I25" s="296"/>
      <c r="J25" s="296"/>
      <c r="K25" s="297"/>
      <c r="L25" s="297"/>
      <c r="M25" s="292" t="s">
        <v>68</v>
      </c>
      <c r="N25" s="293"/>
      <c r="O25" s="298">
        <v>28596.36</v>
      </c>
      <c r="P25" s="289"/>
    </row>
    <row r="26" s="98" customFormat="1" spans="1:16">
      <c r="A26" s="299" t="s">
        <v>550</v>
      </c>
      <c r="B26" s="155">
        <v>5660</v>
      </c>
      <c r="C26" s="282"/>
      <c r="D26" s="157">
        <v>26354.67</v>
      </c>
      <c r="E26" s="157">
        <v>27165.57</v>
      </c>
      <c r="F26" s="283">
        <f t="shared" si="1"/>
        <v>810.900000000001</v>
      </c>
      <c r="G26" s="284"/>
      <c r="H26" s="285"/>
      <c r="I26" s="300"/>
      <c r="J26" s="300"/>
      <c r="K26" s="286"/>
      <c r="L26" s="286"/>
      <c r="M26" s="287" t="s">
        <v>50</v>
      </c>
      <c r="N26" s="288"/>
      <c r="O26" s="301">
        <v>9430.42</v>
      </c>
      <c r="P26" s="289"/>
    </row>
    <row r="27" s="97" customFormat="1" spans="1:16">
      <c r="A27" s="188" t="s">
        <v>551</v>
      </c>
      <c r="B27" s="155">
        <v>1626</v>
      </c>
      <c r="C27" s="282"/>
      <c r="D27" s="157">
        <v>16241.86</v>
      </c>
      <c r="E27" s="157">
        <v>21198.93</v>
      </c>
      <c r="F27" s="283">
        <f t="shared" si="1"/>
        <v>4957.07</v>
      </c>
      <c r="G27" s="284"/>
      <c r="H27" s="285"/>
      <c r="I27" s="285"/>
      <c r="J27" s="285"/>
      <c r="K27" s="286"/>
      <c r="L27" s="286"/>
      <c r="M27" s="287" t="s">
        <v>50</v>
      </c>
      <c r="N27" s="288"/>
      <c r="O27" s="157">
        <v>23999.85</v>
      </c>
      <c r="P27" s="289"/>
    </row>
    <row r="28" s="97" customFormat="1" spans="1:16">
      <c r="A28" s="188" t="s">
        <v>552</v>
      </c>
      <c r="B28" s="155">
        <v>6783</v>
      </c>
      <c r="C28" s="282"/>
      <c r="D28" s="157">
        <v>29851.6</v>
      </c>
      <c r="E28" s="157">
        <v>1222.96</v>
      </c>
      <c r="F28" s="291">
        <f t="shared" si="1"/>
        <v>-28628.64</v>
      </c>
      <c r="G28" s="290"/>
      <c r="H28" s="285"/>
      <c r="I28" s="302"/>
      <c r="J28" s="302"/>
      <c r="K28" s="286"/>
      <c r="L28" s="286"/>
      <c r="M28" s="292" t="s">
        <v>68</v>
      </c>
      <c r="N28" s="293"/>
      <c r="O28" s="157">
        <v>4218.09</v>
      </c>
      <c r="P28" s="289"/>
    </row>
    <row r="29" s="97" customFormat="1" spans="1:16">
      <c r="A29" s="188" t="s">
        <v>553</v>
      </c>
      <c r="B29" s="155">
        <v>7015</v>
      </c>
      <c r="C29" s="282"/>
      <c r="D29" s="157">
        <v>28745.46</v>
      </c>
      <c r="E29" s="157">
        <v>39675.66</v>
      </c>
      <c r="F29" s="283">
        <f t="shared" si="1"/>
        <v>10930.2</v>
      </c>
      <c r="G29" s="284"/>
      <c r="H29" s="285"/>
      <c r="I29" s="285"/>
      <c r="J29" s="285"/>
      <c r="K29" s="282"/>
      <c r="L29" s="286"/>
      <c r="M29" s="287" t="s">
        <v>50</v>
      </c>
      <c r="N29" s="288"/>
      <c r="O29" s="157">
        <v>18593.8</v>
      </c>
      <c r="P29" s="289" t="s">
        <v>554</v>
      </c>
    </row>
    <row r="32" spans="1:16">
      <c r="A32" s="106" t="s">
        <v>70</v>
      </c>
      <c r="B32" s="106"/>
      <c r="C32" s="106"/>
      <c r="D32" s="106"/>
      <c r="E32" s="106"/>
      <c r="F32" s="106"/>
      <c r="G32" s="106"/>
      <c r="H32" s="106"/>
      <c r="I32" s="106"/>
      <c r="J32" s="106"/>
      <c r="K32" s="106"/>
      <c r="L32" s="106"/>
      <c r="M32" s="106"/>
      <c r="N32" s="106"/>
    </row>
    <row r="35" spans="1:15">
      <c r="C35" s="107" t="s">
        <v>18</v>
      </c>
      <c r="D35" s="107"/>
      <c r="E35" s="107"/>
      <c r="F35" s="108"/>
    </row>
    <row r="36" spans="1:15">
      <c r="A36" s="112" t="s">
        <v>21</v>
      </c>
      <c r="B36" s="112" t="s">
        <v>22</v>
      </c>
      <c r="C36" s="113">
        <v>43853</v>
      </c>
      <c r="D36" s="114" t="s">
        <v>23</v>
      </c>
      <c r="E36" s="114" t="s">
        <v>24</v>
      </c>
      <c r="F36" s="114" t="s">
        <v>25</v>
      </c>
      <c r="G36" s="303" t="s">
        <v>28</v>
      </c>
      <c r="H36" s="303"/>
      <c r="I36" s="303"/>
      <c r="J36" s="304"/>
      <c r="K36" s="304"/>
      <c r="L36" s="304"/>
      <c r="M36" s="304"/>
      <c r="N36" s="304"/>
      <c r="O36" s="305" t="s">
        <v>95</v>
      </c>
    </row>
    <row r="37" s="97" customFormat="1" ht="15" customHeight="1" spans="1:15">
      <c r="A37" s="154" t="s">
        <v>555</v>
      </c>
      <c r="B37" s="155">
        <v>7522</v>
      </c>
      <c r="C37" s="282"/>
      <c r="D37" s="157">
        <v>40606</v>
      </c>
      <c r="E37" s="167">
        <v>40606</v>
      </c>
      <c r="F37" s="306">
        <f>E37-D37</f>
        <v>0</v>
      </c>
      <c r="G37" s="307" t="s">
        <v>68</v>
      </c>
      <c r="H37" s="307"/>
      <c r="I37" s="307"/>
      <c r="J37" s="308"/>
      <c r="K37" s="308"/>
      <c r="L37" s="308"/>
      <c r="M37" s="308"/>
      <c r="N37" s="308"/>
      <c r="O37" s="309">
        <v>40606</v>
      </c>
    </row>
    <row r="38" s="97" customFormat="1" ht="15" customHeight="1" spans="1:15">
      <c r="A38" s="154" t="s">
        <v>556</v>
      </c>
      <c r="B38" s="155">
        <v>7497</v>
      </c>
      <c r="C38" s="282"/>
      <c r="D38" s="157">
        <v>32080</v>
      </c>
      <c r="E38" s="167">
        <v>32080</v>
      </c>
      <c r="F38" s="306">
        <f t="shared" ref="F38:F49" si="2">E38-D38</f>
        <v>0</v>
      </c>
      <c r="G38" s="307" t="s">
        <v>68</v>
      </c>
      <c r="H38" s="307"/>
      <c r="I38" s="307"/>
      <c r="J38" s="308"/>
      <c r="K38" s="308"/>
      <c r="L38" s="308"/>
      <c r="M38" s="308"/>
      <c r="N38" s="308"/>
      <c r="O38" s="309">
        <v>32080</v>
      </c>
    </row>
    <row r="39" s="97" customFormat="1" ht="15" customHeight="1" spans="1:15">
      <c r="A39" s="154" t="s">
        <v>557</v>
      </c>
      <c r="B39" s="155">
        <v>7516</v>
      </c>
      <c r="C39" s="282"/>
      <c r="D39" s="157">
        <v>30665.16</v>
      </c>
      <c r="E39" s="167">
        <v>30665.16</v>
      </c>
      <c r="F39" s="306">
        <f t="shared" si="2"/>
        <v>0</v>
      </c>
      <c r="G39" s="307" t="s">
        <v>68</v>
      </c>
      <c r="H39" s="307"/>
      <c r="I39" s="307"/>
      <c r="J39" s="308"/>
      <c r="K39" s="308"/>
      <c r="L39" s="308"/>
      <c r="M39" s="308"/>
      <c r="N39" s="308"/>
      <c r="O39" s="309">
        <v>30665.16</v>
      </c>
    </row>
    <row r="40" s="97" customFormat="1" ht="15" customHeight="1" spans="1:15">
      <c r="A40" s="154" t="s">
        <v>558</v>
      </c>
      <c r="B40" s="155">
        <v>1421</v>
      </c>
      <c r="C40" s="282"/>
      <c r="D40" s="157">
        <v>28683.42</v>
      </c>
      <c r="E40" s="167">
        <v>28683.42</v>
      </c>
      <c r="F40" s="306">
        <f t="shared" si="2"/>
        <v>0</v>
      </c>
      <c r="G40" s="307" t="s">
        <v>68</v>
      </c>
      <c r="H40" s="307"/>
      <c r="I40" s="307"/>
      <c r="J40" s="308"/>
      <c r="K40" s="308"/>
      <c r="L40" s="308"/>
      <c r="M40" s="308"/>
      <c r="N40" s="308"/>
      <c r="O40" s="309">
        <v>28683.42</v>
      </c>
    </row>
    <row r="41" ht="15" customHeight="1" spans="1:15">
      <c r="A41" s="154" t="s">
        <v>559</v>
      </c>
      <c r="B41" s="155">
        <v>5072</v>
      </c>
      <c r="C41" s="282"/>
      <c r="D41" s="157">
        <v>27690.2</v>
      </c>
      <c r="E41" s="167">
        <v>27690.2</v>
      </c>
      <c r="F41" s="306">
        <f t="shared" si="2"/>
        <v>0</v>
      </c>
      <c r="G41" s="307" t="s">
        <v>68</v>
      </c>
      <c r="H41" s="307"/>
      <c r="I41" s="307"/>
      <c r="J41" s="308"/>
      <c r="K41" s="308"/>
      <c r="L41" s="308"/>
      <c r="M41" s="308"/>
      <c r="N41" s="308"/>
      <c r="O41" s="310">
        <v>27690.68</v>
      </c>
    </row>
    <row r="42" s="97" customFormat="1" ht="15" customHeight="1" spans="1:15">
      <c r="A42" s="154" t="s">
        <v>560</v>
      </c>
      <c r="B42" s="155">
        <v>7541</v>
      </c>
      <c r="C42" s="282"/>
      <c r="D42" s="157">
        <v>26520</v>
      </c>
      <c r="E42" s="167">
        <v>26520</v>
      </c>
      <c r="F42" s="306">
        <f t="shared" si="2"/>
        <v>0</v>
      </c>
      <c r="G42" s="307" t="s">
        <v>68</v>
      </c>
      <c r="H42" s="307"/>
      <c r="I42" s="307"/>
      <c r="J42" s="308"/>
      <c r="K42" s="308"/>
      <c r="L42" s="308"/>
      <c r="M42" s="308"/>
      <c r="N42" s="308"/>
      <c r="O42" s="309">
        <v>26520</v>
      </c>
    </row>
    <row r="43" s="140" customFormat="1" ht="15" customHeight="1" spans="1:15">
      <c r="A43" s="311" t="s">
        <v>561</v>
      </c>
      <c r="B43" s="195">
        <v>7487</v>
      </c>
      <c r="C43" s="295"/>
      <c r="D43" s="157">
        <v>24616</v>
      </c>
      <c r="E43" s="167">
        <v>24616</v>
      </c>
      <c r="F43" s="306">
        <f t="shared" si="2"/>
        <v>0</v>
      </c>
      <c r="G43" s="307" t="s">
        <v>68</v>
      </c>
      <c r="H43" s="307"/>
      <c r="I43" s="307"/>
      <c r="J43" s="308"/>
      <c r="K43" s="308"/>
      <c r="L43" s="308"/>
      <c r="M43" s="308"/>
      <c r="N43" s="308"/>
      <c r="O43" s="312">
        <v>24616</v>
      </c>
    </row>
    <row r="44" ht="15" customHeight="1" spans="1:15">
      <c r="A44" s="154" t="s">
        <v>562</v>
      </c>
      <c r="B44" s="155">
        <v>7513</v>
      </c>
      <c r="C44" s="282"/>
      <c r="D44" s="157">
        <v>22256</v>
      </c>
      <c r="E44" s="167">
        <v>22256</v>
      </c>
      <c r="F44" s="306">
        <f t="shared" si="2"/>
        <v>0</v>
      </c>
      <c r="G44" s="307" t="s">
        <v>68</v>
      </c>
      <c r="H44" s="307"/>
      <c r="I44" s="307"/>
      <c r="J44" s="308"/>
      <c r="K44" s="308"/>
      <c r="L44" s="308"/>
      <c r="M44" s="308"/>
      <c r="N44" s="308"/>
      <c r="O44" s="310">
        <v>22256</v>
      </c>
    </row>
    <row r="45" s="97" customFormat="1" ht="15" customHeight="1" spans="1:15">
      <c r="A45" s="154" t="s">
        <v>563</v>
      </c>
      <c r="B45" s="155">
        <v>7589</v>
      </c>
      <c r="C45" s="282"/>
      <c r="D45" s="157">
        <v>33277.91</v>
      </c>
      <c r="E45" s="167">
        <v>33277.91</v>
      </c>
      <c r="F45" s="306">
        <f t="shared" si="2"/>
        <v>0</v>
      </c>
      <c r="G45" s="307" t="s">
        <v>68</v>
      </c>
      <c r="H45" s="307"/>
      <c r="I45" s="307"/>
      <c r="J45" s="308"/>
      <c r="K45" s="308"/>
      <c r="L45" s="308"/>
      <c r="M45" s="308"/>
      <c r="N45" s="308"/>
      <c r="O45" s="309">
        <v>33277.91</v>
      </c>
    </row>
    <row r="46" s="97" customFormat="1" ht="15" customHeight="1" spans="1:15">
      <c r="A46" s="154" t="s">
        <v>564</v>
      </c>
      <c r="B46" s="155">
        <v>838</v>
      </c>
      <c r="C46" s="282"/>
      <c r="D46" s="157">
        <v>20807.6</v>
      </c>
      <c r="E46" s="167">
        <v>20807.6</v>
      </c>
      <c r="F46" s="306">
        <f t="shared" si="2"/>
        <v>0</v>
      </c>
      <c r="G46" s="307" t="s">
        <v>68</v>
      </c>
      <c r="H46" s="307"/>
      <c r="I46" s="307"/>
      <c r="J46" s="308"/>
      <c r="K46" s="308"/>
      <c r="L46" s="308"/>
      <c r="M46" s="308"/>
      <c r="N46" s="308"/>
      <c r="O46" s="309">
        <v>20808.14</v>
      </c>
    </row>
    <row r="47" ht="15" customHeight="1" spans="1:15">
      <c r="A47" s="154" t="s">
        <v>565</v>
      </c>
      <c r="B47" s="155">
        <v>7577</v>
      </c>
      <c r="C47" s="282"/>
      <c r="D47" s="157">
        <v>19247</v>
      </c>
      <c r="E47" s="167">
        <v>19247</v>
      </c>
      <c r="F47" s="306">
        <f t="shared" si="2"/>
        <v>0</v>
      </c>
      <c r="G47" s="307" t="s">
        <v>68</v>
      </c>
      <c r="H47" s="307"/>
      <c r="I47" s="307"/>
      <c r="J47" s="308"/>
      <c r="K47" s="308"/>
      <c r="L47" s="308"/>
      <c r="M47" s="308"/>
      <c r="N47" s="308"/>
      <c r="O47" s="310">
        <v>19247</v>
      </c>
    </row>
    <row r="48" ht="15" customHeight="1" spans="1:15">
      <c r="A48" s="154" t="s">
        <v>566</v>
      </c>
      <c r="B48" s="155">
        <v>7685</v>
      </c>
      <c r="C48" s="282"/>
      <c r="D48" s="157">
        <v>15686</v>
      </c>
      <c r="E48" s="167">
        <v>15686</v>
      </c>
      <c r="F48" s="306">
        <f t="shared" si="2"/>
        <v>0</v>
      </c>
      <c r="G48" s="307" t="s">
        <v>68</v>
      </c>
      <c r="H48" s="307"/>
      <c r="I48" s="307"/>
      <c r="J48" s="308"/>
      <c r="K48" s="308"/>
      <c r="L48" s="308"/>
      <c r="M48" s="308"/>
      <c r="N48" s="308"/>
      <c r="O48" s="310">
        <v>15686</v>
      </c>
    </row>
    <row r="49" ht="15" customHeight="1" spans="1:15">
      <c r="A49" s="154" t="s">
        <v>567</v>
      </c>
      <c r="B49" s="155">
        <v>7431</v>
      </c>
      <c r="C49" s="282"/>
      <c r="D49" s="157">
        <v>15330.77</v>
      </c>
      <c r="E49" s="167">
        <v>15330.77</v>
      </c>
      <c r="F49" s="306">
        <f t="shared" si="2"/>
        <v>0</v>
      </c>
      <c r="G49" s="307" t="s">
        <v>68</v>
      </c>
      <c r="H49" s="307"/>
      <c r="I49" s="307"/>
      <c r="J49" s="308"/>
      <c r="K49" s="308"/>
      <c r="L49" s="308"/>
      <c r="M49" s="308"/>
      <c r="N49" s="308"/>
      <c r="O49" s="310">
        <v>15330.77</v>
      </c>
    </row>
    <row r="50" ht="19.5" hidden="1" customHeight="1" spans="1:15">
      <c r="A50" s="112" t="s">
        <v>568</v>
      </c>
      <c r="B50" s="112">
        <v>7721</v>
      </c>
      <c r="C50" s="252"/>
      <c r="D50" s="313"/>
      <c r="E50" s="37">
        <v>15000</v>
      </c>
      <c r="F50" s="314"/>
      <c r="G50" s="314"/>
      <c r="H50" s="150"/>
      <c r="I50" s="315"/>
      <c r="J50" s="316"/>
      <c r="K50" s="316"/>
      <c r="L50" s="316"/>
      <c r="M50" s="316"/>
      <c r="N50" s="316"/>
      <c r="O50" s="317"/>
    </row>
    <row r="51" hidden="1" spans="1:15">
      <c r="A51" s="154" t="s">
        <v>569</v>
      </c>
      <c r="B51" s="155">
        <v>6288</v>
      </c>
      <c r="C51" s="318"/>
      <c r="D51" s="319"/>
      <c r="E51" s="166">
        <v>14915</v>
      </c>
      <c r="F51" s="320"/>
      <c r="G51" s="320"/>
      <c r="H51" s="171"/>
      <c r="I51" s="321"/>
      <c r="J51" s="322"/>
      <c r="K51" s="322"/>
      <c r="L51" s="322"/>
      <c r="M51" s="322"/>
      <c r="N51" s="322"/>
      <c r="O51" s="317"/>
    </row>
    <row r="52" hidden="1" spans="1:15">
      <c r="A52" s="163" t="s">
        <v>96</v>
      </c>
      <c r="B52" s="164">
        <v>106</v>
      </c>
      <c r="C52" s="164"/>
      <c r="D52" s="171"/>
      <c r="E52" s="171"/>
      <c r="F52" s="171"/>
      <c r="G52" s="171"/>
      <c r="H52" s="171"/>
      <c r="I52" s="321"/>
      <c r="J52" s="322"/>
      <c r="K52" s="322"/>
      <c r="L52" s="322"/>
      <c r="M52" s="322"/>
      <c r="N52" s="322"/>
      <c r="O52" s="317"/>
    </row>
    <row r="53" hidden="1" spans="1:15">
      <c r="A53" s="163" t="s">
        <v>101</v>
      </c>
      <c r="B53" s="164">
        <v>6597</v>
      </c>
      <c r="C53" s="164"/>
      <c r="D53" s="171"/>
      <c r="E53" s="171"/>
      <c r="F53" s="171"/>
      <c r="G53" s="171"/>
      <c r="H53" s="171"/>
      <c r="I53" s="321"/>
      <c r="J53" s="322"/>
      <c r="K53" s="322"/>
      <c r="L53" s="322"/>
      <c r="M53" s="322"/>
      <c r="N53" s="322"/>
      <c r="O53" s="317"/>
    </row>
    <row r="54" hidden="1" spans="1:15">
      <c r="A54" s="163" t="s">
        <v>105</v>
      </c>
      <c r="B54" s="164">
        <v>6610</v>
      </c>
      <c r="C54" s="164"/>
      <c r="D54" s="171"/>
      <c r="E54" s="171"/>
      <c r="F54" s="171"/>
      <c r="G54" s="171"/>
      <c r="H54" s="171"/>
      <c r="I54" s="321"/>
      <c r="J54" s="322"/>
      <c r="K54" s="322"/>
      <c r="L54" s="322"/>
      <c r="M54" s="322"/>
      <c r="N54" s="322"/>
      <c r="O54" s="317"/>
    </row>
    <row r="55" hidden="1" spans="1:15">
      <c r="A55" s="163" t="s">
        <v>42</v>
      </c>
      <c r="B55" s="164">
        <v>401</v>
      </c>
      <c r="C55" s="164"/>
      <c r="D55" s="171"/>
      <c r="E55" s="171"/>
      <c r="F55" s="171"/>
      <c r="G55" s="171"/>
      <c r="H55" s="171"/>
      <c r="I55" s="321"/>
      <c r="J55" s="322"/>
      <c r="K55" s="322"/>
      <c r="L55" s="322"/>
      <c r="M55" s="322"/>
      <c r="N55" s="322"/>
      <c r="O55" s="317"/>
    </row>
    <row r="56" hidden="1" spans="1:15">
      <c r="A56" s="163" t="s">
        <v>107</v>
      </c>
      <c r="B56" s="164">
        <v>216</v>
      </c>
      <c r="C56" s="164"/>
      <c r="D56" s="171"/>
      <c r="E56" s="171"/>
      <c r="F56" s="171"/>
      <c r="G56" s="171"/>
      <c r="H56" s="171"/>
      <c r="I56" s="321"/>
      <c r="J56" s="322"/>
      <c r="K56" s="322"/>
      <c r="L56" s="322"/>
      <c r="M56" s="322"/>
      <c r="N56" s="322"/>
      <c r="O56" s="317"/>
    </row>
    <row r="57" hidden="1" spans="1:15">
      <c r="A57" s="163" t="s">
        <v>108</v>
      </c>
      <c r="B57" s="164">
        <v>285</v>
      </c>
      <c r="C57" s="164"/>
      <c r="D57" s="171"/>
      <c r="E57" s="171"/>
      <c r="F57" s="171"/>
      <c r="G57" s="171"/>
      <c r="H57" s="171"/>
      <c r="I57" s="321"/>
      <c r="J57" s="322"/>
      <c r="K57" s="322"/>
      <c r="L57" s="322"/>
      <c r="M57" s="322"/>
      <c r="N57" s="322"/>
      <c r="O57" s="317"/>
    </row>
    <row r="58" hidden="1" spans="1:15">
      <c r="A58" s="163" t="s">
        <v>103</v>
      </c>
      <c r="B58" s="164">
        <v>317</v>
      </c>
      <c r="C58" s="164"/>
      <c r="D58" s="171"/>
      <c r="E58" s="171"/>
      <c r="F58" s="171"/>
      <c r="G58" s="171"/>
      <c r="H58" s="171"/>
      <c r="I58" s="321"/>
      <c r="J58" s="322"/>
      <c r="K58" s="322"/>
      <c r="L58" s="322"/>
      <c r="M58" s="322"/>
      <c r="N58" s="322"/>
      <c r="O58" s="317"/>
    </row>
    <row r="59" hidden="1" spans="1:15">
      <c r="A59" s="163" t="s">
        <v>132</v>
      </c>
      <c r="B59" s="164">
        <v>1</v>
      </c>
      <c r="C59" s="164"/>
      <c r="D59" s="171"/>
      <c r="E59" s="171"/>
      <c r="F59" s="171"/>
      <c r="G59" s="171"/>
      <c r="H59" s="171"/>
      <c r="I59" s="321"/>
      <c r="J59" s="322"/>
      <c r="K59" s="322"/>
      <c r="L59" s="322"/>
      <c r="M59" s="322"/>
      <c r="N59" s="322"/>
      <c r="O59" s="317"/>
    </row>
    <row r="60" spans="1:15">
      <c r="O60" s="317"/>
    </row>
  </sheetData>
  <mergeCells count="45">
    <mergeCell ref="A2:O2"/>
    <mergeCell ref="C4:F4"/>
    <mergeCell ref="G4:I4"/>
    <mergeCell ref="J4:L4"/>
    <mergeCell ref="M5:N5"/>
    <mergeCell ref="M6:N6"/>
    <mergeCell ref="M7:N7"/>
    <mergeCell ref="M8:N8"/>
    <mergeCell ref="M9:N9"/>
    <mergeCell ref="M10:N10"/>
    <mergeCell ref="M11:N11"/>
    <mergeCell ref="M12:N12"/>
    <mergeCell ref="M13:N13"/>
    <mergeCell ref="M14:N14"/>
    <mergeCell ref="A16:N16"/>
    <mergeCell ref="C18:F18"/>
    <mergeCell ref="G18:I18"/>
    <mergeCell ref="J18:L18"/>
    <mergeCell ref="M19:N19"/>
    <mergeCell ref="M20:N20"/>
    <mergeCell ref="M21:N21"/>
    <mergeCell ref="M22:N22"/>
    <mergeCell ref="M23:N23"/>
    <mergeCell ref="M24:N24"/>
    <mergeCell ref="M25:N25"/>
    <mergeCell ref="M26:N26"/>
    <mergeCell ref="M27:N27"/>
    <mergeCell ref="M28:N28"/>
    <mergeCell ref="M29:N29"/>
    <mergeCell ref="A32:N32"/>
    <mergeCell ref="C35:F35"/>
    <mergeCell ref="G36:I36"/>
    <mergeCell ref="G37:I37"/>
    <mergeCell ref="G38:I38"/>
    <mergeCell ref="G39:I39"/>
    <mergeCell ref="G40:I40"/>
    <mergeCell ref="G41:I41"/>
    <mergeCell ref="G42:I42"/>
    <mergeCell ref="G43:I43"/>
    <mergeCell ref="G44:I44"/>
    <mergeCell ref="G45:I45"/>
    <mergeCell ref="G46:I46"/>
    <mergeCell ref="G47:I47"/>
    <mergeCell ref="G48:I48"/>
    <mergeCell ref="G49:I49"/>
  </mergeCells>
  <pageMargins left="0.7" right="0.7" top="0.75" bottom="0.75" header="0.3" footer="0.3"/>
  <pageSetup paperSize="1" scale="39" orientation="portrait"/>
  <headerFooter>
    <oddFooter>&amp;L&amp;1#&amp;"Calibri"&amp;10&amp;K000000John Keells Group - Confidential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799432355723746"/>
  </sheetPr>
  <dimension ref="A1:P62"/>
  <sheetViews>
    <sheetView workbookViewId="0">
      <selection activeCell="B5" sqref="B5"/>
    </sheetView>
  </sheetViews>
  <sheetFormatPr defaultColWidth="9.12037037037037" defaultRowHeight="14.4"/>
  <cols>
    <col min="1" max="1" width="10" style="2" customWidth="1"/>
    <col min="2" max="2" width="9" style="2" customWidth="1"/>
    <col min="3" max="3" width="24.25" style="2" customWidth="1"/>
    <col min="4" max="4" width="13.1203703703704" style="3" customWidth="1"/>
    <col min="5" max="5" width="12" customWidth="1"/>
    <col min="6" max="6" width="12.8796296296296" style="3" customWidth="1"/>
    <col min="7" max="7" width="11.8796296296296" style="3" customWidth="1"/>
    <col min="8" max="9" width="12.1203703703704" style="3" customWidth="1"/>
    <col min="10" max="10" width="10.25" style="3" customWidth="1"/>
    <col min="11" max="11" width="13.1203703703704" style="3" customWidth="1"/>
    <col min="12" max="12" width="12.1203703703704" style="2" customWidth="1"/>
    <col min="13" max="13" width="12.8796296296296" style="2" customWidth="1"/>
    <col min="14" max="14" width="47.3703703703704" style="2" customWidth="1"/>
    <col min="15" max="15" width="51.75" style="86" customWidth="1"/>
    <col min="16" max="16" width="16.3703703703704" style="2" customWidth="1"/>
    <col min="17" max="16384" width="9.12037037037037" style="2"/>
  </cols>
  <sheetData>
    <row r="1" spans="1:16">
      <c r="A1" s="27"/>
      <c r="C1" s="262" t="s">
        <v>133</v>
      </c>
      <c r="D1" s="7" t="s">
        <v>134</v>
      </c>
      <c r="E1" s="8" t="s">
        <v>135</v>
      </c>
      <c r="F1" s="8"/>
      <c r="G1" s="8"/>
      <c r="H1" s="8"/>
      <c r="I1" s="9"/>
      <c r="J1" s="10"/>
      <c r="K1" s="10"/>
    </row>
    <row r="2" ht="15.6" customHeight="1" spans="1:16">
      <c r="A2" s="27" t="s">
        <v>570</v>
      </c>
      <c r="C2" s="263"/>
      <c r="D2" s="62" t="s">
        <v>137</v>
      </c>
      <c r="E2" s="264" t="s">
        <v>138</v>
      </c>
      <c r="F2" s="64" t="s">
        <v>139</v>
      </c>
      <c r="G2" s="64" t="s">
        <v>140</v>
      </c>
      <c r="H2" s="64" t="s">
        <v>141</v>
      </c>
      <c r="I2" s="65" t="s">
        <v>142</v>
      </c>
      <c r="J2" s="10"/>
      <c r="K2" s="10"/>
    </row>
    <row r="3" ht="15.6" customHeight="1" spans="1:16">
      <c r="A3" s="27"/>
      <c r="C3" s="578" t="s">
        <v>143</v>
      </c>
      <c r="D3" s="18">
        <v>1779564.59</v>
      </c>
      <c r="E3" s="265">
        <v>469824.67</v>
      </c>
      <c r="F3" s="186">
        <v>32720.1</v>
      </c>
      <c r="G3" s="186">
        <v>40197.1</v>
      </c>
      <c r="H3" s="186">
        <v>28064.98</v>
      </c>
      <c r="I3" s="186">
        <v>1208757.74</v>
      </c>
      <c r="J3" s="10"/>
      <c r="K3" s="10"/>
      <c r="L3" s="270" t="s">
        <v>571</v>
      </c>
      <c r="M3" s="270"/>
      <c r="N3" s="270"/>
    </row>
    <row r="4" spans="1:16">
      <c r="A4" s="27"/>
      <c r="C4" s="578" t="s">
        <v>144</v>
      </c>
      <c r="D4" s="18">
        <v>1952475.08</v>
      </c>
      <c r="E4" s="265">
        <v>636521.64</v>
      </c>
      <c r="F4" s="186">
        <v>69945.22</v>
      </c>
      <c r="G4" s="186">
        <v>18558.59</v>
      </c>
      <c r="H4" s="186">
        <v>19983.74</v>
      </c>
      <c r="I4" s="186">
        <v>1207465.89</v>
      </c>
      <c r="J4" s="10"/>
      <c r="K4" s="10"/>
    </row>
    <row r="5" ht="15.15" spans="1:16">
      <c r="A5" s="27"/>
      <c r="C5" s="266" t="s">
        <v>145</v>
      </c>
      <c r="D5" s="23">
        <v>-172910.49</v>
      </c>
      <c r="E5" s="24">
        <v>-166696.97</v>
      </c>
      <c r="F5" s="25">
        <v>-37225.12</v>
      </c>
      <c r="G5" s="25">
        <v>21638.51</v>
      </c>
      <c r="H5" s="25">
        <v>8081.23999999999</v>
      </c>
      <c r="I5" s="26">
        <v>1291.84999999986</v>
      </c>
      <c r="J5" s="10"/>
      <c r="K5" s="10"/>
    </row>
    <row r="6" ht="15.15" spans="1:16">
      <c r="A6" s="27"/>
      <c r="B6" s="27"/>
      <c r="C6" s="27"/>
      <c r="D6" s="28"/>
      <c r="E6" s="2"/>
      <c r="F6" s="28"/>
      <c r="G6" s="28"/>
      <c r="H6" s="28"/>
      <c r="I6" s="28"/>
      <c r="J6" s="28"/>
      <c r="K6" s="28"/>
      <c r="L6" s="27"/>
      <c r="M6" s="27"/>
      <c r="O6" s="87"/>
    </row>
    <row r="7" spans="1:16">
      <c r="A7" s="27"/>
      <c r="B7" s="27"/>
      <c r="C7" s="27"/>
      <c r="D7" s="29"/>
      <c r="E7" s="29"/>
      <c r="F7" s="30"/>
      <c r="G7" s="31" t="s">
        <v>146</v>
      </c>
      <c r="H7" s="32"/>
      <c r="I7" s="32"/>
      <c r="J7" s="32"/>
      <c r="K7" s="33"/>
      <c r="L7" s="34"/>
      <c r="M7" s="34"/>
      <c r="N7" s="35"/>
    </row>
    <row r="8" ht="16.5" customHeight="1" spans="1:16">
      <c r="A8" s="36" t="s">
        <v>147</v>
      </c>
      <c r="B8" s="36" t="s">
        <v>148</v>
      </c>
      <c r="C8" s="36" t="s">
        <v>149</v>
      </c>
      <c r="D8" s="37" t="s">
        <v>150</v>
      </c>
      <c r="E8" s="37" t="s">
        <v>151</v>
      </c>
      <c r="F8" s="37" t="s">
        <v>152</v>
      </c>
      <c r="G8" s="37" t="s">
        <v>153</v>
      </c>
      <c r="H8" s="37" t="s">
        <v>154</v>
      </c>
      <c r="I8" s="37" t="s">
        <v>155</v>
      </c>
      <c r="J8" s="37" t="s">
        <v>156</v>
      </c>
      <c r="K8" s="37" t="s">
        <v>157</v>
      </c>
      <c r="L8" s="36" t="s">
        <v>158</v>
      </c>
      <c r="M8" s="36" t="s">
        <v>159</v>
      </c>
      <c r="N8" s="38" t="s">
        <v>160</v>
      </c>
      <c r="O8" s="39" t="s">
        <v>161</v>
      </c>
      <c r="P8" s="39" t="s">
        <v>162</v>
      </c>
    </row>
    <row r="9" ht="29.25" customHeight="1" spans="1:16">
      <c r="A9" s="36"/>
      <c r="B9" s="36"/>
      <c r="C9" s="36"/>
      <c r="D9" s="37"/>
      <c r="E9" s="37"/>
      <c r="F9" s="37"/>
      <c r="G9" s="37"/>
      <c r="H9" s="37"/>
      <c r="I9" s="37"/>
      <c r="J9" s="37"/>
      <c r="K9" s="37"/>
      <c r="L9" s="36"/>
      <c r="M9" s="36"/>
      <c r="N9" s="38"/>
      <c r="O9" s="41"/>
      <c r="P9" s="41"/>
    </row>
    <row r="10" s="1" customFormat="1" spans="1:16">
      <c r="A10" s="90">
        <v>3137</v>
      </c>
      <c r="B10" s="90" t="s">
        <v>572</v>
      </c>
      <c r="C10" s="90" t="s">
        <v>541</v>
      </c>
      <c r="D10" s="91">
        <v>44557.11</v>
      </c>
      <c r="E10" s="91">
        <v>47407.11</v>
      </c>
      <c r="F10" s="91">
        <f t="shared" ref="F10:F41" si="0">D10-E10</f>
        <v>-2850</v>
      </c>
      <c r="G10" s="91">
        <v>0</v>
      </c>
      <c r="H10" s="91">
        <v>0</v>
      </c>
      <c r="I10" s="91">
        <v>0</v>
      </c>
      <c r="J10" s="91">
        <v>0</v>
      </c>
      <c r="K10" s="91">
        <v>44557.11</v>
      </c>
      <c r="L10" s="92">
        <v>47</v>
      </c>
      <c r="M10" s="92">
        <v>30</v>
      </c>
      <c r="N10" s="93" t="s">
        <v>573</v>
      </c>
      <c r="O10" s="93" t="s">
        <v>574</v>
      </c>
      <c r="P10" s="93">
        <v>0</v>
      </c>
    </row>
    <row r="11" s="1" customFormat="1" spans="1:16">
      <c r="A11" s="90">
        <v>7522</v>
      </c>
      <c r="B11" s="90" t="s">
        <v>575</v>
      </c>
      <c r="C11" s="90" t="s">
        <v>576</v>
      </c>
      <c r="D11" s="91">
        <v>40606</v>
      </c>
      <c r="E11" s="91">
        <v>40606</v>
      </c>
      <c r="F11" s="91">
        <f t="shared" si="0"/>
        <v>0</v>
      </c>
      <c r="G11" s="91">
        <v>0</v>
      </c>
      <c r="H11" s="91">
        <v>0</v>
      </c>
      <c r="I11" s="91">
        <v>0</v>
      </c>
      <c r="J11" s="91">
        <v>0</v>
      </c>
      <c r="K11" s="91">
        <v>40606</v>
      </c>
      <c r="L11" s="92">
        <v>0</v>
      </c>
      <c r="M11" s="92">
        <v>0</v>
      </c>
      <c r="N11" s="93" t="s">
        <v>577</v>
      </c>
      <c r="O11" s="93" t="s">
        <v>578</v>
      </c>
      <c r="P11" s="93">
        <v>0</v>
      </c>
    </row>
    <row r="12" s="1" customFormat="1" spans="1:16">
      <c r="A12" s="90">
        <v>7353</v>
      </c>
      <c r="B12" s="90" t="s">
        <v>579</v>
      </c>
      <c r="C12" s="90" t="s">
        <v>580</v>
      </c>
      <c r="D12" s="91">
        <v>30713.68</v>
      </c>
      <c r="E12" s="91">
        <v>33560.03</v>
      </c>
      <c r="F12" s="91">
        <f t="shared" si="0"/>
        <v>-2846.35</v>
      </c>
      <c r="G12" s="91">
        <v>0</v>
      </c>
      <c r="H12" s="91">
        <v>0</v>
      </c>
      <c r="I12" s="91">
        <v>0</v>
      </c>
      <c r="J12" s="91">
        <v>0</v>
      </c>
      <c r="K12" s="91">
        <v>30713.68</v>
      </c>
      <c r="L12" s="92">
        <v>56</v>
      </c>
      <c r="M12" s="92">
        <v>29</v>
      </c>
      <c r="N12" s="93" t="s">
        <v>574</v>
      </c>
      <c r="O12" s="93" t="s">
        <v>574</v>
      </c>
      <c r="P12" s="93">
        <v>24</v>
      </c>
    </row>
    <row r="13" s="1" customFormat="1" spans="1:16">
      <c r="A13" s="90">
        <v>7516</v>
      </c>
      <c r="B13" s="90" t="s">
        <v>575</v>
      </c>
      <c r="C13" s="90" t="s">
        <v>557</v>
      </c>
      <c r="D13" s="91">
        <v>30665.16</v>
      </c>
      <c r="E13" s="91">
        <v>30665.16</v>
      </c>
      <c r="F13" s="91">
        <f t="shared" si="0"/>
        <v>0</v>
      </c>
      <c r="G13" s="91">
        <v>0</v>
      </c>
      <c r="H13" s="91">
        <v>0</v>
      </c>
      <c r="I13" s="91">
        <v>0</v>
      </c>
      <c r="J13" s="91">
        <v>0</v>
      </c>
      <c r="K13" s="91">
        <v>30665.16</v>
      </c>
      <c r="L13" s="92">
        <v>0</v>
      </c>
      <c r="M13" s="92">
        <v>0</v>
      </c>
      <c r="N13" s="93" t="s">
        <v>578</v>
      </c>
      <c r="O13" s="93" t="s">
        <v>578</v>
      </c>
      <c r="P13" s="93">
        <v>0</v>
      </c>
    </row>
    <row r="14" s="1" customFormat="1" spans="1:16">
      <c r="A14" s="90">
        <v>4831</v>
      </c>
      <c r="B14" s="90" t="s">
        <v>511</v>
      </c>
      <c r="C14" s="90" t="s">
        <v>581</v>
      </c>
      <c r="D14" s="91">
        <v>24633.61</v>
      </c>
      <c r="E14" s="91">
        <v>24633.61</v>
      </c>
      <c r="F14" s="91">
        <f t="shared" si="0"/>
        <v>0</v>
      </c>
      <c r="G14" s="91">
        <v>0</v>
      </c>
      <c r="H14" s="91">
        <v>0</v>
      </c>
      <c r="I14" s="91">
        <v>0</v>
      </c>
      <c r="J14" s="91">
        <v>0</v>
      </c>
      <c r="K14" s="91">
        <v>24633.61</v>
      </c>
      <c r="L14" s="92">
        <v>0</v>
      </c>
      <c r="M14" s="92">
        <v>0</v>
      </c>
      <c r="N14" s="93" t="s">
        <v>578</v>
      </c>
      <c r="O14" s="93" t="s">
        <v>578</v>
      </c>
      <c r="P14" s="93">
        <v>0</v>
      </c>
    </row>
    <row r="15" s="1" customFormat="1" spans="1:16">
      <c r="A15" s="90">
        <v>7621</v>
      </c>
      <c r="B15" s="90" t="s">
        <v>582</v>
      </c>
      <c r="C15" s="90" t="s">
        <v>545</v>
      </c>
      <c r="D15" s="91">
        <v>22742.17</v>
      </c>
      <c r="E15" s="91">
        <v>22742.17</v>
      </c>
      <c r="F15" s="91">
        <f t="shared" si="0"/>
        <v>0</v>
      </c>
      <c r="G15" s="91">
        <v>0</v>
      </c>
      <c r="H15" s="91">
        <v>0</v>
      </c>
      <c r="I15" s="91">
        <v>0</v>
      </c>
      <c r="J15" s="91">
        <v>0</v>
      </c>
      <c r="K15" s="91">
        <v>22742.17</v>
      </c>
      <c r="L15" s="92">
        <v>0</v>
      </c>
      <c r="M15" s="92">
        <v>0</v>
      </c>
      <c r="N15" s="93" t="s">
        <v>578</v>
      </c>
      <c r="O15" s="93" t="s">
        <v>578</v>
      </c>
      <c r="P15" s="93">
        <v>0</v>
      </c>
    </row>
    <row r="16" s="1" customFormat="1" spans="1:16">
      <c r="A16" s="90">
        <v>1421</v>
      </c>
      <c r="B16" s="90" t="s">
        <v>511</v>
      </c>
      <c r="C16" s="90" t="s">
        <v>558</v>
      </c>
      <c r="D16" s="91">
        <v>22651.12</v>
      </c>
      <c r="E16" s="91">
        <v>22651.12</v>
      </c>
      <c r="F16" s="91">
        <f t="shared" si="0"/>
        <v>0</v>
      </c>
      <c r="G16" s="91">
        <v>0</v>
      </c>
      <c r="H16" s="91">
        <v>0</v>
      </c>
      <c r="I16" s="91">
        <v>0</v>
      </c>
      <c r="J16" s="91">
        <v>0</v>
      </c>
      <c r="K16" s="91">
        <v>22651.12</v>
      </c>
      <c r="L16" s="92">
        <v>0</v>
      </c>
      <c r="M16" s="92">
        <v>0</v>
      </c>
      <c r="N16" s="93" t="s">
        <v>583</v>
      </c>
      <c r="O16" s="93" t="s">
        <v>583</v>
      </c>
      <c r="P16" s="93">
        <v>0</v>
      </c>
    </row>
    <row r="17" s="1" customFormat="1" spans="1:16">
      <c r="A17" s="90">
        <v>7513</v>
      </c>
      <c r="B17" s="90" t="s">
        <v>575</v>
      </c>
      <c r="C17" s="90" t="s">
        <v>584</v>
      </c>
      <c r="D17" s="91">
        <v>22256</v>
      </c>
      <c r="E17" s="91">
        <v>22256</v>
      </c>
      <c r="F17" s="91">
        <f t="shared" si="0"/>
        <v>0</v>
      </c>
      <c r="G17" s="91">
        <v>0</v>
      </c>
      <c r="H17" s="91">
        <v>0</v>
      </c>
      <c r="I17" s="91">
        <v>0</v>
      </c>
      <c r="J17" s="91">
        <v>0</v>
      </c>
      <c r="K17" s="91">
        <v>22256</v>
      </c>
      <c r="L17" s="92">
        <v>0</v>
      </c>
      <c r="M17" s="92">
        <v>0</v>
      </c>
      <c r="N17" s="93" t="s">
        <v>578</v>
      </c>
      <c r="O17" s="93" t="s">
        <v>578</v>
      </c>
      <c r="P17" s="93">
        <v>0</v>
      </c>
    </row>
    <row r="18" s="1" customFormat="1" spans="1:16">
      <c r="A18" s="90">
        <v>7487</v>
      </c>
      <c r="B18" s="90" t="s">
        <v>511</v>
      </c>
      <c r="C18" s="90" t="s">
        <v>585</v>
      </c>
      <c r="D18" s="91">
        <v>19796</v>
      </c>
      <c r="E18" s="91">
        <v>19796</v>
      </c>
      <c r="F18" s="91">
        <f t="shared" si="0"/>
        <v>0</v>
      </c>
      <c r="G18" s="91">
        <v>0</v>
      </c>
      <c r="H18" s="91">
        <v>0</v>
      </c>
      <c r="I18" s="91">
        <v>0</v>
      </c>
      <c r="J18" s="91">
        <v>0</v>
      </c>
      <c r="K18" s="91">
        <v>19796</v>
      </c>
      <c r="L18" s="92">
        <v>0</v>
      </c>
      <c r="M18" s="92">
        <v>0</v>
      </c>
      <c r="N18" s="93" t="s">
        <v>578</v>
      </c>
      <c r="O18" s="93" t="s">
        <v>578</v>
      </c>
      <c r="P18" s="93">
        <v>0</v>
      </c>
    </row>
    <row r="19" s="1" customFormat="1" spans="1:16">
      <c r="A19" s="90">
        <v>7856</v>
      </c>
      <c r="B19" s="90" t="s">
        <v>511</v>
      </c>
      <c r="C19" s="90" t="s">
        <v>534</v>
      </c>
      <c r="D19" s="91">
        <v>19311.48</v>
      </c>
      <c r="E19" s="91">
        <v>19311.48</v>
      </c>
      <c r="F19" s="91">
        <f t="shared" si="0"/>
        <v>0</v>
      </c>
      <c r="G19" s="91">
        <v>0</v>
      </c>
      <c r="H19" s="91">
        <v>0</v>
      </c>
      <c r="I19" s="91">
        <v>0</v>
      </c>
      <c r="J19" s="91">
        <v>0</v>
      </c>
      <c r="K19" s="91">
        <v>19311.48</v>
      </c>
      <c r="L19" s="92">
        <v>0</v>
      </c>
      <c r="M19" s="92">
        <v>0</v>
      </c>
      <c r="N19" s="93" t="s">
        <v>586</v>
      </c>
      <c r="O19" s="93" t="s">
        <v>586</v>
      </c>
      <c r="P19" s="93">
        <v>0</v>
      </c>
    </row>
    <row r="20" s="1" customFormat="1" spans="1:16">
      <c r="A20" s="90">
        <v>7577</v>
      </c>
      <c r="B20" s="90" t="s">
        <v>575</v>
      </c>
      <c r="C20" s="90" t="s">
        <v>587</v>
      </c>
      <c r="D20" s="91">
        <v>19247</v>
      </c>
      <c r="E20" s="91">
        <v>19247</v>
      </c>
      <c r="F20" s="91">
        <f t="shared" si="0"/>
        <v>0</v>
      </c>
      <c r="G20" s="91">
        <v>0</v>
      </c>
      <c r="H20" s="91">
        <v>0</v>
      </c>
      <c r="I20" s="91">
        <v>0</v>
      </c>
      <c r="J20" s="91">
        <v>0</v>
      </c>
      <c r="K20" s="91">
        <v>19247</v>
      </c>
      <c r="L20" s="92">
        <v>0</v>
      </c>
      <c r="M20" s="92">
        <v>0</v>
      </c>
      <c r="N20" s="93" t="s">
        <v>578</v>
      </c>
      <c r="O20" s="93" t="s">
        <v>578</v>
      </c>
      <c r="P20" s="93">
        <v>0</v>
      </c>
    </row>
    <row r="21" s="1" customFormat="1" spans="1:16">
      <c r="A21" s="90">
        <v>7850</v>
      </c>
      <c r="B21" s="90" t="s">
        <v>511</v>
      </c>
      <c r="C21" s="90" t="s">
        <v>537</v>
      </c>
      <c r="D21" s="91">
        <v>18962.6</v>
      </c>
      <c r="E21" s="91">
        <v>18962.6</v>
      </c>
      <c r="F21" s="91">
        <f t="shared" si="0"/>
        <v>0</v>
      </c>
      <c r="G21" s="91">
        <v>0</v>
      </c>
      <c r="H21" s="91">
        <v>0</v>
      </c>
      <c r="I21" s="91">
        <v>0</v>
      </c>
      <c r="J21" s="91">
        <v>0</v>
      </c>
      <c r="K21" s="91">
        <v>18962.6</v>
      </c>
      <c r="L21" s="92">
        <v>0</v>
      </c>
      <c r="M21" s="92">
        <v>0</v>
      </c>
      <c r="N21" s="93" t="s">
        <v>578</v>
      </c>
      <c r="O21" s="93" t="s">
        <v>578</v>
      </c>
      <c r="P21" s="93">
        <v>0</v>
      </c>
    </row>
    <row r="22" s="1" customFormat="1" spans="1:16">
      <c r="A22" s="90">
        <v>5976</v>
      </c>
      <c r="B22" s="90" t="s">
        <v>229</v>
      </c>
      <c r="C22" s="90" t="s">
        <v>588</v>
      </c>
      <c r="D22" s="91">
        <v>16561.21</v>
      </c>
      <c r="E22" s="91">
        <v>16561.21</v>
      </c>
      <c r="F22" s="91">
        <f t="shared" si="0"/>
        <v>0</v>
      </c>
      <c r="G22" s="91">
        <v>0</v>
      </c>
      <c r="H22" s="91">
        <v>0</v>
      </c>
      <c r="I22" s="91">
        <v>0</v>
      </c>
      <c r="J22" s="91">
        <v>0</v>
      </c>
      <c r="K22" s="91">
        <v>16561.21</v>
      </c>
      <c r="L22" s="92">
        <v>0</v>
      </c>
      <c r="M22" s="92">
        <v>0</v>
      </c>
      <c r="N22" s="93" t="s">
        <v>578</v>
      </c>
      <c r="O22" s="93" t="s">
        <v>578</v>
      </c>
      <c r="P22" s="93">
        <v>0</v>
      </c>
    </row>
    <row r="23" s="1" customFormat="1" spans="1:16">
      <c r="A23" s="90">
        <v>6936</v>
      </c>
      <c r="B23" s="90" t="s">
        <v>589</v>
      </c>
      <c r="C23" s="90" t="s">
        <v>590</v>
      </c>
      <c r="D23" s="91">
        <v>16052.5</v>
      </c>
      <c r="E23" s="91">
        <v>16052.5</v>
      </c>
      <c r="F23" s="91">
        <f t="shared" si="0"/>
        <v>0</v>
      </c>
      <c r="G23" s="91">
        <v>0</v>
      </c>
      <c r="H23" s="91">
        <v>0</v>
      </c>
      <c r="I23" s="91">
        <v>0</v>
      </c>
      <c r="J23" s="91">
        <v>0</v>
      </c>
      <c r="K23" s="91">
        <v>16052.5</v>
      </c>
      <c r="L23" s="92">
        <v>0</v>
      </c>
      <c r="M23" s="92">
        <v>0</v>
      </c>
      <c r="N23" s="93" t="s">
        <v>578</v>
      </c>
      <c r="O23" s="93" t="s">
        <v>578</v>
      </c>
      <c r="P23" s="93">
        <v>0</v>
      </c>
    </row>
    <row r="24" s="1" customFormat="1" spans="1:16">
      <c r="A24" s="90">
        <v>7685</v>
      </c>
      <c r="B24" s="90" t="s">
        <v>229</v>
      </c>
      <c r="C24" s="90" t="s">
        <v>566</v>
      </c>
      <c r="D24" s="91">
        <v>15686</v>
      </c>
      <c r="E24" s="91">
        <v>15686</v>
      </c>
      <c r="F24" s="91">
        <f t="shared" si="0"/>
        <v>0</v>
      </c>
      <c r="G24" s="91">
        <v>0</v>
      </c>
      <c r="H24" s="91">
        <v>0</v>
      </c>
      <c r="I24" s="91">
        <v>0</v>
      </c>
      <c r="J24" s="91">
        <v>0</v>
      </c>
      <c r="K24" s="91">
        <v>15686</v>
      </c>
      <c r="L24" s="92">
        <v>0</v>
      </c>
      <c r="M24" s="92">
        <v>0</v>
      </c>
      <c r="N24" s="93" t="s">
        <v>578</v>
      </c>
      <c r="O24" s="93" t="s">
        <v>578</v>
      </c>
      <c r="P24" s="93">
        <v>0</v>
      </c>
    </row>
    <row r="25" s="1" customFormat="1" spans="1:16">
      <c r="A25" s="90">
        <v>7721</v>
      </c>
      <c r="B25" s="90" t="s">
        <v>229</v>
      </c>
      <c r="C25" s="90" t="s">
        <v>568</v>
      </c>
      <c r="D25" s="91">
        <v>15000</v>
      </c>
      <c r="E25" s="91">
        <v>15000</v>
      </c>
      <c r="F25" s="91">
        <f t="shared" si="0"/>
        <v>0</v>
      </c>
      <c r="G25" s="91">
        <v>0</v>
      </c>
      <c r="H25" s="91">
        <v>0</v>
      </c>
      <c r="I25" s="91">
        <v>0</v>
      </c>
      <c r="J25" s="91">
        <v>0</v>
      </c>
      <c r="K25" s="91">
        <v>15000</v>
      </c>
      <c r="L25" s="92">
        <v>0</v>
      </c>
      <c r="M25" s="92">
        <v>0</v>
      </c>
      <c r="N25" s="93" t="s">
        <v>578</v>
      </c>
      <c r="O25" s="93" t="s">
        <v>578</v>
      </c>
      <c r="P25" s="93">
        <v>0</v>
      </c>
    </row>
    <row r="26" s="1" customFormat="1" spans="1:16">
      <c r="A26" s="90">
        <v>6288</v>
      </c>
      <c r="B26" s="90" t="s">
        <v>511</v>
      </c>
      <c r="C26" s="90" t="s">
        <v>591</v>
      </c>
      <c r="D26" s="91">
        <v>14915</v>
      </c>
      <c r="E26" s="91">
        <v>14915</v>
      </c>
      <c r="F26" s="91">
        <f t="shared" si="0"/>
        <v>0</v>
      </c>
      <c r="G26" s="91">
        <v>0</v>
      </c>
      <c r="H26" s="91">
        <v>0</v>
      </c>
      <c r="I26" s="91">
        <v>0</v>
      </c>
      <c r="J26" s="91">
        <v>0</v>
      </c>
      <c r="K26" s="91">
        <v>14915</v>
      </c>
      <c r="L26" s="92">
        <v>0</v>
      </c>
      <c r="M26" s="92">
        <v>0</v>
      </c>
      <c r="N26" s="93" t="s">
        <v>578</v>
      </c>
      <c r="O26" s="93" t="s">
        <v>578</v>
      </c>
      <c r="P26" s="93">
        <v>0</v>
      </c>
    </row>
    <row r="27" s="1" customFormat="1" spans="1:16">
      <c r="A27" s="90">
        <v>7492</v>
      </c>
      <c r="B27" s="90" t="s">
        <v>592</v>
      </c>
      <c r="C27" s="90" t="s">
        <v>593</v>
      </c>
      <c r="D27" s="91">
        <v>14627.55</v>
      </c>
      <c r="E27" s="91">
        <v>14627.55</v>
      </c>
      <c r="F27" s="91">
        <f t="shared" si="0"/>
        <v>0</v>
      </c>
      <c r="G27" s="91">
        <v>0</v>
      </c>
      <c r="H27" s="91">
        <v>0</v>
      </c>
      <c r="I27" s="91">
        <v>0</v>
      </c>
      <c r="J27" s="91">
        <v>0</v>
      </c>
      <c r="K27" s="91">
        <v>14627.55</v>
      </c>
      <c r="L27" s="92">
        <v>0</v>
      </c>
      <c r="M27" s="92">
        <v>0</v>
      </c>
      <c r="N27" s="93" t="s">
        <v>578</v>
      </c>
      <c r="O27" s="93" t="s">
        <v>578</v>
      </c>
      <c r="P27" s="93">
        <v>0</v>
      </c>
    </row>
    <row r="28" s="1" customFormat="1" spans="1:16">
      <c r="A28" s="90">
        <v>5072</v>
      </c>
      <c r="B28" s="90" t="s">
        <v>572</v>
      </c>
      <c r="C28" s="90" t="s">
        <v>559</v>
      </c>
      <c r="D28" s="91">
        <v>11954.05</v>
      </c>
      <c r="E28" s="91">
        <v>13474.05</v>
      </c>
      <c r="F28" s="91">
        <f t="shared" si="0"/>
        <v>-1520</v>
      </c>
      <c r="G28" s="91">
        <v>0</v>
      </c>
      <c r="H28" s="91">
        <v>0</v>
      </c>
      <c r="I28" s="91">
        <v>0</v>
      </c>
      <c r="J28" s="91">
        <v>0</v>
      </c>
      <c r="K28" s="91">
        <v>11954.05</v>
      </c>
      <c r="L28" s="92">
        <v>0</v>
      </c>
      <c r="M28" s="92">
        <v>16</v>
      </c>
      <c r="N28" s="93" t="s">
        <v>583</v>
      </c>
      <c r="O28" s="93" t="s">
        <v>574</v>
      </c>
      <c r="P28" s="93">
        <v>0</v>
      </c>
    </row>
    <row r="29" s="1" customFormat="1" spans="1:16">
      <c r="A29" s="90">
        <v>6510</v>
      </c>
      <c r="B29" s="90" t="s">
        <v>594</v>
      </c>
      <c r="C29" s="90" t="s">
        <v>595</v>
      </c>
      <c r="D29" s="91">
        <v>6708.24</v>
      </c>
      <c r="E29" s="91">
        <v>6576.71</v>
      </c>
      <c r="F29" s="91">
        <f t="shared" si="0"/>
        <v>131.53</v>
      </c>
      <c r="G29" s="91">
        <v>131.53</v>
      </c>
      <c r="H29" s="91">
        <v>128.96</v>
      </c>
      <c r="I29" s="91">
        <v>126.43</v>
      </c>
      <c r="J29" s="91">
        <v>364.6</v>
      </c>
      <c r="K29" s="91">
        <v>5956.72</v>
      </c>
      <c r="L29" s="92">
        <v>0</v>
      </c>
      <c r="M29" s="92">
        <v>0</v>
      </c>
      <c r="N29" s="93" t="s">
        <v>578</v>
      </c>
      <c r="O29" s="93" t="s">
        <v>578</v>
      </c>
      <c r="P29" s="93">
        <v>0</v>
      </c>
    </row>
    <row r="30" s="1" customFormat="1" spans="1:16">
      <c r="A30" s="90">
        <v>4124</v>
      </c>
      <c r="B30" s="90" t="s">
        <v>511</v>
      </c>
      <c r="C30" s="90" t="s">
        <v>596</v>
      </c>
      <c r="D30" s="91">
        <v>1852.82</v>
      </c>
      <c r="E30" s="91">
        <v>1816.49</v>
      </c>
      <c r="F30" s="91">
        <f t="shared" si="0"/>
        <v>36.3299999999999</v>
      </c>
      <c r="G30" s="91">
        <v>36.33</v>
      </c>
      <c r="H30" s="91">
        <v>35.62</v>
      </c>
      <c r="I30" s="91">
        <v>34.92</v>
      </c>
      <c r="J30" s="91">
        <v>100.7</v>
      </c>
      <c r="K30" s="91">
        <v>1645.25</v>
      </c>
      <c r="L30" s="92">
        <v>0</v>
      </c>
      <c r="M30" s="92">
        <v>0</v>
      </c>
      <c r="N30" s="93" t="s">
        <v>578</v>
      </c>
      <c r="O30" s="93" t="s">
        <v>578</v>
      </c>
      <c r="P30" s="93">
        <v>0</v>
      </c>
    </row>
    <row r="31" s="1" customFormat="1" spans="1:16">
      <c r="A31" s="90">
        <v>4048</v>
      </c>
      <c r="B31" s="90" t="s">
        <v>597</v>
      </c>
      <c r="C31" s="90" t="s">
        <v>598</v>
      </c>
      <c r="D31" s="91">
        <v>1846.77</v>
      </c>
      <c r="E31" s="91">
        <v>1810.56</v>
      </c>
      <c r="F31" s="91">
        <f t="shared" si="0"/>
        <v>36.21</v>
      </c>
      <c r="G31" s="91">
        <v>36.21</v>
      </c>
      <c r="H31" s="91">
        <v>35.5</v>
      </c>
      <c r="I31" s="91">
        <v>34.81</v>
      </c>
      <c r="J31" s="91">
        <v>100.37</v>
      </c>
      <c r="K31" s="91">
        <v>1639.88</v>
      </c>
      <c r="L31" s="92">
        <v>0</v>
      </c>
      <c r="M31" s="92">
        <v>0</v>
      </c>
      <c r="N31" s="93" t="s">
        <v>578</v>
      </c>
      <c r="O31" s="93" t="s">
        <v>578</v>
      </c>
      <c r="P31" s="93">
        <v>0</v>
      </c>
    </row>
    <row r="32" s="1" customFormat="1" spans="1:16">
      <c r="A32" s="90">
        <v>6151</v>
      </c>
      <c r="B32" s="90" t="s">
        <v>511</v>
      </c>
      <c r="C32" s="90" t="s">
        <v>599</v>
      </c>
      <c r="D32" s="91">
        <v>1289.05</v>
      </c>
      <c r="E32" s="91">
        <v>1263.77</v>
      </c>
      <c r="F32" s="91">
        <f t="shared" si="0"/>
        <v>25.28</v>
      </c>
      <c r="G32" s="91">
        <v>25.28</v>
      </c>
      <c r="H32" s="91">
        <v>24.78</v>
      </c>
      <c r="I32" s="91">
        <v>24.29</v>
      </c>
      <c r="J32" s="91">
        <v>70.06</v>
      </c>
      <c r="K32" s="91">
        <v>1144.64</v>
      </c>
      <c r="L32" s="92">
        <v>0</v>
      </c>
      <c r="M32" s="92">
        <v>0</v>
      </c>
      <c r="N32" s="93" t="s">
        <v>578</v>
      </c>
      <c r="O32" s="93" t="s">
        <v>578</v>
      </c>
      <c r="P32" s="93">
        <v>0</v>
      </c>
    </row>
    <row r="33" s="1" customFormat="1" spans="1:16">
      <c r="A33" s="90">
        <v>3894</v>
      </c>
      <c r="B33" s="90" t="s">
        <v>600</v>
      </c>
      <c r="C33" s="90" t="s">
        <v>601</v>
      </c>
      <c r="D33" s="91">
        <v>861.52</v>
      </c>
      <c r="E33" s="91">
        <v>844.63</v>
      </c>
      <c r="F33" s="91">
        <f t="shared" si="0"/>
        <v>16.89</v>
      </c>
      <c r="G33" s="91">
        <v>16.89</v>
      </c>
      <c r="H33" s="91">
        <v>16.56</v>
      </c>
      <c r="I33" s="91">
        <v>16.24</v>
      </c>
      <c r="J33" s="91">
        <v>46.83</v>
      </c>
      <c r="K33" s="91">
        <v>765</v>
      </c>
      <c r="L33" s="92">
        <v>0</v>
      </c>
      <c r="M33" s="92">
        <v>0</v>
      </c>
      <c r="N33" s="93" t="s">
        <v>578</v>
      </c>
      <c r="O33" s="93" t="s">
        <v>578</v>
      </c>
      <c r="P33" s="93">
        <v>0</v>
      </c>
    </row>
    <row r="34" s="1" customFormat="1" spans="1:16">
      <c r="A34" s="90">
        <v>128</v>
      </c>
      <c r="B34" s="90" t="s">
        <v>600</v>
      </c>
      <c r="C34" s="90" t="s">
        <v>602</v>
      </c>
      <c r="D34" s="91">
        <v>861.52</v>
      </c>
      <c r="E34" s="91">
        <v>844.63</v>
      </c>
      <c r="F34" s="91">
        <f t="shared" si="0"/>
        <v>16.89</v>
      </c>
      <c r="G34" s="91">
        <v>16.89</v>
      </c>
      <c r="H34" s="91">
        <v>16.56</v>
      </c>
      <c r="I34" s="91">
        <v>16.24</v>
      </c>
      <c r="J34" s="91">
        <v>46.83</v>
      </c>
      <c r="K34" s="91">
        <v>765</v>
      </c>
      <c r="L34" s="92">
        <v>0</v>
      </c>
      <c r="M34" s="92">
        <v>0</v>
      </c>
      <c r="N34" s="93" t="s">
        <v>578</v>
      </c>
      <c r="O34" s="93" t="s">
        <v>578</v>
      </c>
      <c r="P34" s="93">
        <v>0</v>
      </c>
    </row>
    <row r="35" s="1" customFormat="1" spans="1:16">
      <c r="A35" s="90">
        <v>7936</v>
      </c>
      <c r="B35" s="90" t="s">
        <v>582</v>
      </c>
      <c r="C35" s="90" t="s">
        <v>603</v>
      </c>
      <c r="D35" s="91">
        <v>861.52</v>
      </c>
      <c r="E35" s="91">
        <v>844.63</v>
      </c>
      <c r="F35" s="91">
        <f t="shared" si="0"/>
        <v>16.89</v>
      </c>
      <c r="G35" s="91">
        <v>16.89</v>
      </c>
      <c r="H35" s="91">
        <v>16.56</v>
      </c>
      <c r="I35" s="91">
        <v>16.24</v>
      </c>
      <c r="J35" s="91">
        <v>46.83</v>
      </c>
      <c r="K35" s="91">
        <v>765</v>
      </c>
      <c r="L35" s="92">
        <v>0</v>
      </c>
      <c r="M35" s="92">
        <v>0</v>
      </c>
      <c r="N35" s="93" t="s">
        <v>578</v>
      </c>
      <c r="O35" s="93" t="s">
        <v>578</v>
      </c>
      <c r="P35" s="93">
        <v>0</v>
      </c>
    </row>
    <row r="36" s="1" customFormat="1" spans="1:16">
      <c r="A36" s="90">
        <v>7718</v>
      </c>
      <c r="B36" s="90" t="s">
        <v>604</v>
      </c>
      <c r="C36" s="90" t="s">
        <v>605</v>
      </c>
      <c r="D36" s="91">
        <v>861.52</v>
      </c>
      <c r="E36" s="91">
        <v>844.63</v>
      </c>
      <c r="F36" s="91">
        <f t="shared" si="0"/>
        <v>16.89</v>
      </c>
      <c r="G36" s="91">
        <v>16.89</v>
      </c>
      <c r="H36" s="91">
        <v>16.56</v>
      </c>
      <c r="I36" s="91">
        <v>16.24</v>
      </c>
      <c r="J36" s="91">
        <v>46.83</v>
      </c>
      <c r="K36" s="91">
        <v>765</v>
      </c>
      <c r="L36" s="92">
        <v>0</v>
      </c>
      <c r="M36" s="92">
        <v>0</v>
      </c>
      <c r="N36" s="93" t="s">
        <v>578</v>
      </c>
      <c r="O36" s="93" t="s">
        <v>578</v>
      </c>
      <c r="P36" s="93">
        <v>0</v>
      </c>
    </row>
    <row r="37" s="1" customFormat="1" spans="1:16">
      <c r="A37" s="90">
        <v>7767</v>
      </c>
      <c r="B37" s="90" t="s">
        <v>606</v>
      </c>
      <c r="C37" s="90" t="s">
        <v>607</v>
      </c>
      <c r="D37" s="91">
        <v>7207.4</v>
      </c>
      <c r="E37" s="91">
        <v>8230.08</v>
      </c>
      <c r="F37" s="91">
        <f t="shared" si="0"/>
        <v>-1022.68</v>
      </c>
      <c r="G37" s="91">
        <v>141.32</v>
      </c>
      <c r="H37" s="91">
        <v>896.37</v>
      </c>
      <c r="I37" s="91">
        <v>878.8</v>
      </c>
      <c r="J37" s="91">
        <v>5290.91</v>
      </c>
      <c r="K37" s="91">
        <v>0</v>
      </c>
      <c r="L37" s="92">
        <v>0</v>
      </c>
      <c r="M37" s="92">
        <v>12</v>
      </c>
      <c r="N37" s="93" t="s">
        <v>608</v>
      </c>
      <c r="O37" s="93" t="s">
        <v>608</v>
      </c>
      <c r="P37" s="93">
        <v>0</v>
      </c>
    </row>
    <row r="38" s="1" customFormat="1" spans="1:16">
      <c r="A38" s="90">
        <v>7218</v>
      </c>
      <c r="B38" s="90" t="s">
        <v>594</v>
      </c>
      <c r="C38" s="90" t="s">
        <v>609</v>
      </c>
      <c r="D38" s="91">
        <v>4867.66</v>
      </c>
      <c r="E38" s="91">
        <v>4772.22</v>
      </c>
      <c r="F38" s="91">
        <f t="shared" si="0"/>
        <v>95.4399999999996</v>
      </c>
      <c r="G38" s="91">
        <v>95.44</v>
      </c>
      <c r="H38" s="91">
        <v>93.57</v>
      </c>
      <c r="I38" s="91">
        <v>91.74</v>
      </c>
      <c r="J38" s="91">
        <v>4586.91</v>
      </c>
      <c r="K38" s="91">
        <v>0</v>
      </c>
      <c r="L38" s="92">
        <v>0</v>
      </c>
      <c r="M38" s="92">
        <v>0</v>
      </c>
      <c r="N38" s="93" t="s">
        <v>610</v>
      </c>
      <c r="O38" s="93" t="s">
        <v>578</v>
      </c>
      <c r="P38" s="93">
        <v>0</v>
      </c>
    </row>
    <row r="39" s="1" customFormat="1" spans="1:16">
      <c r="A39" s="90">
        <v>1299</v>
      </c>
      <c r="B39" s="90" t="s">
        <v>600</v>
      </c>
      <c r="C39" s="90" t="s">
        <v>611</v>
      </c>
      <c r="D39" s="91">
        <v>3412.28</v>
      </c>
      <c r="E39" s="91">
        <v>3345.37</v>
      </c>
      <c r="F39" s="91">
        <f t="shared" si="0"/>
        <v>66.9100000000003</v>
      </c>
      <c r="G39" s="91">
        <v>66.91</v>
      </c>
      <c r="H39" s="91">
        <v>65.6</v>
      </c>
      <c r="I39" s="91">
        <v>64.31</v>
      </c>
      <c r="J39" s="91">
        <v>3215.46</v>
      </c>
      <c r="K39" s="91">
        <v>0</v>
      </c>
      <c r="L39" s="92">
        <v>0</v>
      </c>
      <c r="M39" s="92">
        <v>0</v>
      </c>
      <c r="N39" s="93" t="s">
        <v>612</v>
      </c>
      <c r="O39" s="93" t="s">
        <v>612</v>
      </c>
      <c r="P39" s="93">
        <v>0</v>
      </c>
    </row>
    <row r="40" s="1" customFormat="1" spans="1:16">
      <c r="A40" s="90">
        <v>7966</v>
      </c>
      <c r="B40" s="90" t="s">
        <v>589</v>
      </c>
      <c r="C40" s="90" t="s">
        <v>613</v>
      </c>
      <c r="D40" s="91">
        <v>3369.41</v>
      </c>
      <c r="E40" s="91">
        <v>3303.34</v>
      </c>
      <c r="F40" s="91">
        <f t="shared" si="0"/>
        <v>66.0699999999997</v>
      </c>
      <c r="G40" s="91">
        <v>66.07</v>
      </c>
      <c r="H40" s="91">
        <v>64.77</v>
      </c>
      <c r="I40" s="91">
        <v>63.5</v>
      </c>
      <c r="J40" s="91">
        <v>3175.07</v>
      </c>
      <c r="K40" s="91">
        <v>0</v>
      </c>
      <c r="L40" s="92">
        <v>0</v>
      </c>
      <c r="M40" s="92">
        <v>0</v>
      </c>
      <c r="N40" s="93" t="s">
        <v>583</v>
      </c>
      <c r="O40" s="93" t="s">
        <v>583</v>
      </c>
      <c r="P40" s="93">
        <v>0</v>
      </c>
    </row>
    <row r="41" s="1" customFormat="1" spans="1:16">
      <c r="A41" s="90">
        <v>7960</v>
      </c>
      <c r="B41" s="90" t="s">
        <v>511</v>
      </c>
      <c r="C41" s="90" t="s">
        <v>614</v>
      </c>
      <c r="D41" s="91">
        <v>1274.13</v>
      </c>
      <c r="E41" s="91">
        <v>1249.15</v>
      </c>
      <c r="F41" s="91">
        <f t="shared" si="0"/>
        <v>24.98</v>
      </c>
      <c r="G41" s="91">
        <v>24.98</v>
      </c>
      <c r="H41" s="91">
        <v>24.49</v>
      </c>
      <c r="I41" s="91">
        <v>73.46</v>
      </c>
      <c r="J41" s="91">
        <v>1151.2</v>
      </c>
      <c r="K41" s="91">
        <v>0</v>
      </c>
      <c r="L41" s="92">
        <v>26</v>
      </c>
      <c r="M41" s="92">
        <v>0</v>
      </c>
      <c r="N41" s="93" t="s">
        <v>578</v>
      </c>
      <c r="O41" s="93" t="s">
        <v>574</v>
      </c>
      <c r="P41" s="93">
        <v>0</v>
      </c>
    </row>
    <row r="42" s="1" customFormat="1" spans="1:16">
      <c r="A42" s="90">
        <v>2843</v>
      </c>
      <c r="B42" s="90" t="s">
        <v>604</v>
      </c>
      <c r="C42" s="90" t="s">
        <v>615</v>
      </c>
      <c r="D42" s="91">
        <v>812.46</v>
      </c>
      <c r="E42" s="91">
        <v>796.53</v>
      </c>
      <c r="F42" s="91">
        <f t="shared" ref="F42:F62" si="1">D42-E42</f>
        <v>15.9300000000001</v>
      </c>
      <c r="G42" s="91">
        <v>15.93</v>
      </c>
      <c r="H42" s="91">
        <v>390.62</v>
      </c>
      <c r="I42" s="91">
        <v>7.96</v>
      </c>
      <c r="J42" s="91">
        <v>397.95</v>
      </c>
      <c r="K42" s="91">
        <v>0</v>
      </c>
      <c r="L42" s="92">
        <v>0</v>
      </c>
      <c r="M42" s="92">
        <v>0</v>
      </c>
      <c r="N42" s="93" t="s">
        <v>578</v>
      </c>
      <c r="O42" s="93" t="s">
        <v>578</v>
      </c>
      <c r="P42" s="93">
        <v>0</v>
      </c>
    </row>
    <row r="43" s="1" customFormat="1" spans="1:16">
      <c r="A43" s="90">
        <v>7488</v>
      </c>
      <c r="B43" s="90" t="s">
        <v>597</v>
      </c>
      <c r="C43" s="90" t="s">
        <v>616</v>
      </c>
      <c r="D43" s="91">
        <v>422.31</v>
      </c>
      <c r="E43" s="91">
        <v>414.03</v>
      </c>
      <c r="F43" s="91">
        <f t="shared" si="1"/>
        <v>8.28000000000003</v>
      </c>
      <c r="G43" s="91">
        <v>8.28</v>
      </c>
      <c r="H43" s="91">
        <v>8.12</v>
      </c>
      <c r="I43" s="91">
        <v>7.96</v>
      </c>
      <c r="J43" s="91">
        <v>397.95</v>
      </c>
      <c r="K43" s="91">
        <v>0</v>
      </c>
      <c r="L43" s="92">
        <v>0</v>
      </c>
      <c r="M43" s="92">
        <v>0</v>
      </c>
      <c r="N43" s="93">
        <v>0</v>
      </c>
      <c r="O43" s="93">
        <v>0</v>
      </c>
      <c r="P43" s="93">
        <v>0</v>
      </c>
    </row>
    <row r="44" s="1" customFormat="1" spans="1:16">
      <c r="A44" s="90">
        <v>2145</v>
      </c>
      <c r="B44" s="90" t="s">
        <v>511</v>
      </c>
      <c r="C44" s="90" t="s">
        <v>617</v>
      </c>
      <c r="D44" s="91">
        <v>422.31</v>
      </c>
      <c r="E44" s="91">
        <v>414.03</v>
      </c>
      <c r="F44" s="91">
        <f t="shared" si="1"/>
        <v>8.28000000000003</v>
      </c>
      <c r="G44" s="91">
        <v>8.28</v>
      </c>
      <c r="H44" s="91">
        <v>8.12</v>
      </c>
      <c r="I44" s="91">
        <v>7.96</v>
      </c>
      <c r="J44" s="91">
        <v>397.95</v>
      </c>
      <c r="K44" s="91">
        <v>0</v>
      </c>
      <c r="L44" s="92">
        <v>0</v>
      </c>
      <c r="M44" s="92">
        <v>0</v>
      </c>
      <c r="N44" s="93" t="s">
        <v>578</v>
      </c>
      <c r="O44" s="93" t="s">
        <v>578</v>
      </c>
      <c r="P44" s="93">
        <v>0</v>
      </c>
    </row>
    <row r="45" s="1" customFormat="1" spans="1:16">
      <c r="A45" s="90">
        <v>7996</v>
      </c>
      <c r="B45" s="90" t="s">
        <v>618</v>
      </c>
      <c r="C45" s="90" t="s">
        <v>619</v>
      </c>
      <c r="D45" s="91">
        <v>14335.62</v>
      </c>
      <c r="E45" s="91">
        <v>16673.53</v>
      </c>
      <c r="F45" s="91">
        <f t="shared" si="1"/>
        <v>-2337.91</v>
      </c>
      <c r="G45" s="91">
        <v>281.09</v>
      </c>
      <c r="H45" s="91">
        <v>1076.93</v>
      </c>
      <c r="I45" s="91">
        <v>12977.6</v>
      </c>
      <c r="J45" s="91">
        <v>0</v>
      </c>
      <c r="K45" s="91">
        <v>0</v>
      </c>
      <c r="L45" s="92">
        <v>50</v>
      </c>
      <c r="M45" s="92">
        <v>27</v>
      </c>
      <c r="N45" s="93" t="s">
        <v>620</v>
      </c>
      <c r="O45" s="93" t="s">
        <v>574</v>
      </c>
      <c r="P45" s="93">
        <v>0</v>
      </c>
    </row>
    <row r="46" s="1" customFormat="1" spans="1:16">
      <c r="A46" s="90">
        <v>6916</v>
      </c>
      <c r="B46" s="90" t="s">
        <v>511</v>
      </c>
      <c r="C46" s="90" t="s">
        <v>621</v>
      </c>
      <c r="D46" s="91">
        <v>5167.55</v>
      </c>
      <c r="E46" s="91">
        <v>5066.23</v>
      </c>
      <c r="F46" s="91">
        <f t="shared" si="1"/>
        <v>101.320000000001</v>
      </c>
      <c r="G46" s="91">
        <v>101.32</v>
      </c>
      <c r="H46" s="91">
        <v>99.34</v>
      </c>
      <c r="I46" s="91">
        <v>4966.89</v>
      </c>
      <c r="J46" s="91">
        <v>0</v>
      </c>
      <c r="K46" s="91">
        <v>0</v>
      </c>
      <c r="L46" s="92">
        <v>0</v>
      </c>
      <c r="M46" s="92">
        <v>0</v>
      </c>
      <c r="N46" s="93" t="s">
        <v>622</v>
      </c>
      <c r="O46" s="93">
        <v>0</v>
      </c>
      <c r="P46" s="93">
        <v>0</v>
      </c>
    </row>
    <row r="47" s="1" customFormat="1" spans="1:16">
      <c r="A47" s="90">
        <v>7890</v>
      </c>
      <c r="B47" s="90" t="s">
        <v>589</v>
      </c>
      <c r="C47" s="90" t="s">
        <v>623</v>
      </c>
      <c r="D47" s="91">
        <v>5105.57</v>
      </c>
      <c r="E47" s="91">
        <v>12415.46</v>
      </c>
      <c r="F47" s="91">
        <f t="shared" si="1"/>
        <v>-7309.89</v>
      </c>
      <c r="G47" s="91">
        <v>256.11</v>
      </c>
      <c r="H47" s="91">
        <v>888.44</v>
      </c>
      <c r="I47" s="91">
        <v>3961.02</v>
      </c>
      <c r="J47" s="91">
        <v>0</v>
      </c>
      <c r="K47" s="91">
        <v>0</v>
      </c>
      <c r="L47" s="92">
        <v>0</v>
      </c>
      <c r="M47" s="92">
        <v>78</v>
      </c>
      <c r="N47" s="93" t="s">
        <v>624</v>
      </c>
      <c r="O47" s="93" t="s">
        <v>574</v>
      </c>
      <c r="P47" s="93">
        <v>0</v>
      </c>
    </row>
    <row r="48" s="1" customFormat="1" spans="1:16">
      <c r="A48" s="90">
        <v>7815</v>
      </c>
      <c r="B48" s="90" t="s">
        <v>618</v>
      </c>
      <c r="C48" s="90" t="s">
        <v>625</v>
      </c>
      <c r="D48" s="91">
        <v>20014.35</v>
      </c>
      <c r="E48" s="91">
        <v>17616.91</v>
      </c>
      <c r="F48" s="91">
        <f t="shared" si="1"/>
        <v>2397.44</v>
      </c>
      <c r="G48" s="91">
        <v>7247.44</v>
      </c>
      <c r="H48" s="91">
        <v>9420.43</v>
      </c>
      <c r="I48" s="91">
        <v>3346.48</v>
      </c>
      <c r="J48" s="91">
        <v>0</v>
      </c>
      <c r="K48" s="91">
        <v>0</v>
      </c>
      <c r="L48" s="92">
        <v>80</v>
      </c>
      <c r="M48" s="92">
        <v>50</v>
      </c>
      <c r="N48" s="93" t="s">
        <v>578</v>
      </c>
      <c r="O48" s="93" t="s">
        <v>574</v>
      </c>
      <c r="P48" s="93">
        <v>0</v>
      </c>
    </row>
    <row r="49" s="1" customFormat="1" spans="1:16">
      <c r="A49" s="90">
        <v>1187</v>
      </c>
      <c r="B49" s="90" t="s">
        <v>594</v>
      </c>
      <c r="C49" s="90" t="s">
        <v>626</v>
      </c>
      <c r="D49" s="91">
        <v>4112.97</v>
      </c>
      <c r="E49" s="91">
        <v>5756.72</v>
      </c>
      <c r="F49" s="91">
        <f t="shared" si="1"/>
        <v>-1643.75</v>
      </c>
      <c r="G49" s="91">
        <v>102.25</v>
      </c>
      <c r="H49" s="91">
        <v>1612.88</v>
      </c>
      <c r="I49" s="91">
        <v>2397.84</v>
      </c>
      <c r="J49" s="91">
        <v>0</v>
      </c>
      <c r="K49" s="91">
        <v>0</v>
      </c>
      <c r="L49" s="92">
        <v>0</v>
      </c>
      <c r="M49" s="92">
        <v>18</v>
      </c>
      <c r="N49" s="93">
        <v>0</v>
      </c>
      <c r="O49" s="93">
        <v>0</v>
      </c>
      <c r="P49" s="93">
        <v>0</v>
      </c>
    </row>
    <row r="50" s="1" customFormat="1" spans="1:16">
      <c r="A50" s="90">
        <v>4340</v>
      </c>
      <c r="B50" s="90" t="s">
        <v>511</v>
      </c>
      <c r="C50" s="90" t="s">
        <v>627</v>
      </c>
      <c r="D50" s="91">
        <v>18442.13</v>
      </c>
      <c r="E50" s="91">
        <v>12706.52</v>
      </c>
      <c r="F50" s="91">
        <f t="shared" si="1"/>
        <v>5735.61</v>
      </c>
      <c r="G50" s="91">
        <v>10735.61</v>
      </c>
      <c r="H50" s="91">
        <v>6237.15</v>
      </c>
      <c r="I50" s="91">
        <v>1469.37</v>
      </c>
      <c r="J50" s="91">
        <v>0</v>
      </c>
      <c r="K50" s="91">
        <v>0</v>
      </c>
      <c r="L50" s="92">
        <v>0</v>
      </c>
      <c r="M50" s="92">
        <v>0</v>
      </c>
      <c r="N50" s="93">
        <v>0</v>
      </c>
      <c r="O50" s="93">
        <v>0</v>
      </c>
      <c r="P50" s="93">
        <v>0</v>
      </c>
    </row>
    <row r="51" s="1" customFormat="1" spans="1:16">
      <c r="A51" s="90">
        <v>6428</v>
      </c>
      <c r="B51" s="90" t="s">
        <v>606</v>
      </c>
      <c r="C51" s="90" t="s">
        <v>628</v>
      </c>
      <c r="D51" s="91">
        <v>1387.06</v>
      </c>
      <c r="E51" s="91">
        <v>1359.86</v>
      </c>
      <c r="F51" s="91">
        <f t="shared" si="1"/>
        <v>27.2</v>
      </c>
      <c r="G51" s="91">
        <v>27.2</v>
      </c>
      <c r="H51" s="91">
        <v>686.66</v>
      </c>
      <c r="I51" s="91">
        <v>673.2</v>
      </c>
      <c r="J51" s="91">
        <v>0</v>
      </c>
      <c r="K51" s="91">
        <v>0</v>
      </c>
      <c r="L51" s="92">
        <v>0</v>
      </c>
      <c r="M51" s="92">
        <v>0</v>
      </c>
      <c r="N51" s="93">
        <v>0</v>
      </c>
      <c r="O51" s="93">
        <v>0</v>
      </c>
      <c r="P51" s="93">
        <v>0</v>
      </c>
    </row>
    <row r="52" s="1" customFormat="1" spans="1:16">
      <c r="A52" s="90">
        <v>6992</v>
      </c>
      <c r="B52" s="90" t="s">
        <v>511</v>
      </c>
      <c r="C52" s="90" t="s">
        <v>629</v>
      </c>
      <c r="D52" s="91">
        <v>1649.16</v>
      </c>
      <c r="E52" s="91">
        <v>2967.32</v>
      </c>
      <c r="F52" s="91">
        <f t="shared" si="1"/>
        <v>-1318.16</v>
      </c>
      <c r="G52" s="91">
        <v>1192.34</v>
      </c>
      <c r="H52" s="91">
        <v>456.82</v>
      </c>
      <c r="I52" s="91">
        <v>0</v>
      </c>
      <c r="J52" s="91">
        <v>0</v>
      </c>
      <c r="K52" s="91">
        <v>0</v>
      </c>
      <c r="L52" s="92">
        <v>50</v>
      </c>
      <c r="M52" s="92">
        <v>25</v>
      </c>
      <c r="N52" s="93" t="s">
        <v>574</v>
      </c>
      <c r="O52" s="93">
        <v>0</v>
      </c>
      <c r="P52" s="93">
        <v>57</v>
      </c>
    </row>
    <row r="53" s="1" customFormat="1" spans="1:16">
      <c r="A53" s="90">
        <v>8054</v>
      </c>
      <c r="B53" s="90" t="s">
        <v>594</v>
      </c>
      <c r="C53" s="90" t="s">
        <v>630</v>
      </c>
      <c r="D53" s="91">
        <v>73559.75</v>
      </c>
      <c r="E53" s="91">
        <v>0</v>
      </c>
      <c r="F53" s="91">
        <f t="shared" si="1"/>
        <v>73559.75</v>
      </c>
      <c r="G53" s="91">
        <v>73559.75</v>
      </c>
      <c r="H53" s="91">
        <v>0</v>
      </c>
      <c r="I53" s="91">
        <v>0</v>
      </c>
      <c r="J53" s="91">
        <v>0</v>
      </c>
      <c r="K53" s="91">
        <v>0</v>
      </c>
      <c r="L53" s="92">
        <v>153</v>
      </c>
      <c r="M53" s="92">
        <v>1022</v>
      </c>
      <c r="N53" s="93" t="s">
        <v>574</v>
      </c>
      <c r="O53" s="93">
        <v>0</v>
      </c>
      <c r="P53" s="93">
        <v>334</v>
      </c>
    </row>
    <row r="54" s="1" customFormat="1" spans="1:16">
      <c r="A54" s="90">
        <v>6423</v>
      </c>
      <c r="B54" s="90" t="s">
        <v>511</v>
      </c>
      <c r="C54" s="90" t="s">
        <v>631</v>
      </c>
      <c r="D54" s="91">
        <v>58676.23</v>
      </c>
      <c r="E54" s="91">
        <v>13878.22</v>
      </c>
      <c r="F54" s="91">
        <f t="shared" si="1"/>
        <v>44798.01</v>
      </c>
      <c r="G54" s="91">
        <v>58676.23</v>
      </c>
      <c r="H54" s="91">
        <v>0</v>
      </c>
      <c r="I54" s="91">
        <v>0</v>
      </c>
      <c r="J54" s="91">
        <v>0</v>
      </c>
      <c r="K54" s="91">
        <v>0</v>
      </c>
      <c r="L54" s="92">
        <v>1461</v>
      </c>
      <c r="M54" s="92">
        <v>1131</v>
      </c>
      <c r="N54" s="93" t="s">
        <v>574</v>
      </c>
      <c r="O54" s="93" t="s">
        <v>574</v>
      </c>
      <c r="P54" s="93">
        <v>899</v>
      </c>
    </row>
    <row r="55" s="1" customFormat="1" spans="1:16">
      <c r="A55" s="90">
        <v>4308</v>
      </c>
      <c r="B55" s="90" t="s">
        <v>511</v>
      </c>
      <c r="C55" s="90" t="s">
        <v>632</v>
      </c>
      <c r="D55" s="91">
        <v>37322.82</v>
      </c>
      <c r="E55" s="91">
        <v>0</v>
      </c>
      <c r="F55" s="91">
        <f t="shared" si="1"/>
        <v>37322.82</v>
      </c>
      <c r="G55" s="91">
        <v>37322.82</v>
      </c>
      <c r="H55" s="91">
        <v>0</v>
      </c>
      <c r="I55" s="91">
        <v>0</v>
      </c>
      <c r="J55" s="91">
        <v>0</v>
      </c>
      <c r="K55" s="91">
        <v>0</v>
      </c>
      <c r="L55" s="92">
        <v>657</v>
      </c>
      <c r="M55" s="92">
        <v>284</v>
      </c>
      <c r="N55" s="93" t="s">
        <v>574</v>
      </c>
      <c r="O55" s="93">
        <v>0</v>
      </c>
      <c r="P55" s="93">
        <v>90</v>
      </c>
    </row>
    <row r="56" s="1" customFormat="1" spans="1:16">
      <c r="A56" s="90">
        <v>359</v>
      </c>
      <c r="B56" s="90" t="s">
        <v>511</v>
      </c>
      <c r="C56" s="90" t="s">
        <v>549</v>
      </c>
      <c r="D56" s="91">
        <v>21043.97</v>
      </c>
      <c r="E56" s="91">
        <v>2745.84</v>
      </c>
      <c r="F56" s="91">
        <f t="shared" si="1"/>
        <v>18298.13</v>
      </c>
      <c r="G56" s="91">
        <v>21043.97</v>
      </c>
      <c r="H56" s="91">
        <v>0</v>
      </c>
      <c r="I56" s="91">
        <v>0</v>
      </c>
      <c r="J56" s="91">
        <v>0</v>
      </c>
      <c r="K56" s="91">
        <v>0</v>
      </c>
      <c r="L56" s="92">
        <v>0</v>
      </c>
      <c r="M56" s="92">
        <v>217</v>
      </c>
      <c r="N56" s="93" t="s">
        <v>574</v>
      </c>
      <c r="O56" s="93">
        <v>0</v>
      </c>
      <c r="P56" s="93">
        <v>177</v>
      </c>
    </row>
    <row r="57" s="1" customFormat="1" spans="1:16">
      <c r="A57" s="90">
        <v>6783</v>
      </c>
      <c r="B57" s="90" t="s">
        <v>594</v>
      </c>
      <c r="C57" s="90" t="s">
        <v>633</v>
      </c>
      <c r="D57" s="91">
        <v>10107.19</v>
      </c>
      <c r="E57" s="91">
        <v>20130.81</v>
      </c>
      <c r="F57" s="91">
        <f t="shared" si="1"/>
        <v>-10023.62</v>
      </c>
      <c r="G57" s="91">
        <v>10107.19</v>
      </c>
      <c r="H57" s="91">
        <v>0</v>
      </c>
      <c r="I57" s="91">
        <v>0</v>
      </c>
      <c r="J57" s="91">
        <v>0</v>
      </c>
      <c r="K57" s="91">
        <v>0</v>
      </c>
      <c r="L57" s="92">
        <v>743</v>
      </c>
      <c r="M57" s="92">
        <v>856</v>
      </c>
      <c r="N57" s="93" t="s">
        <v>574</v>
      </c>
      <c r="O57" s="93" t="s">
        <v>574</v>
      </c>
      <c r="P57" s="93">
        <v>880</v>
      </c>
    </row>
    <row r="58" s="1" customFormat="1" spans="1:16">
      <c r="A58" s="90">
        <v>427</v>
      </c>
      <c r="B58" s="90" t="s">
        <v>604</v>
      </c>
      <c r="C58" s="90" t="s">
        <v>634</v>
      </c>
      <c r="D58" s="91">
        <v>3588.67</v>
      </c>
      <c r="E58" s="91">
        <v>0</v>
      </c>
      <c r="F58" s="91">
        <f t="shared" si="1"/>
        <v>3588.67</v>
      </c>
      <c r="G58" s="91">
        <v>3588.67</v>
      </c>
      <c r="H58" s="91">
        <v>0</v>
      </c>
      <c r="I58" s="91">
        <v>0</v>
      </c>
      <c r="J58" s="91">
        <v>0</v>
      </c>
      <c r="K58" s="91">
        <v>0</v>
      </c>
      <c r="L58" s="92">
        <v>351</v>
      </c>
      <c r="M58" s="92">
        <v>295</v>
      </c>
      <c r="N58" s="93" t="s">
        <v>574</v>
      </c>
      <c r="O58" s="93">
        <v>0</v>
      </c>
      <c r="P58" s="93">
        <v>82</v>
      </c>
    </row>
    <row r="59" s="1" customFormat="1" spans="1:16">
      <c r="A59" s="90">
        <v>7963</v>
      </c>
      <c r="B59" s="90" t="s">
        <v>635</v>
      </c>
      <c r="C59" s="90" t="s">
        <v>636</v>
      </c>
      <c r="D59" s="91">
        <v>1538.16</v>
      </c>
      <c r="E59" s="91">
        <v>0</v>
      </c>
      <c r="F59" s="91">
        <f t="shared" si="1"/>
        <v>1538.16</v>
      </c>
      <c r="G59" s="91">
        <v>1538.16</v>
      </c>
      <c r="H59" s="91">
        <v>0</v>
      </c>
      <c r="I59" s="91">
        <v>0</v>
      </c>
      <c r="J59" s="91">
        <v>0</v>
      </c>
      <c r="K59" s="91">
        <v>0</v>
      </c>
      <c r="L59" s="92">
        <v>26</v>
      </c>
      <c r="M59" s="92">
        <v>36</v>
      </c>
      <c r="N59" s="93" t="s">
        <v>574</v>
      </c>
      <c r="O59" s="93">
        <v>0</v>
      </c>
      <c r="P59" s="93">
        <v>7</v>
      </c>
    </row>
    <row r="60" s="1" customFormat="1" spans="1:16">
      <c r="A60" s="90">
        <v>6259</v>
      </c>
      <c r="B60" s="90" t="s">
        <v>511</v>
      </c>
      <c r="C60" s="90" t="s">
        <v>637</v>
      </c>
      <c r="D60" s="91">
        <v>1457.25</v>
      </c>
      <c r="E60" s="91">
        <v>2516.68</v>
      </c>
      <c r="F60" s="91">
        <f t="shared" si="1"/>
        <v>-1059.43</v>
      </c>
      <c r="G60" s="91">
        <v>1457.25</v>
      </c>
      <c r="H60" s="91">
        <v>0</v>
      </c>
      <c r="I60" s="91">
        <v>0</v>
      </c>
      <c r="J60" s="91">
        <v>0</v>
      </c>
      <c r="K60" s="91">
        <v>0</v>
      </c>
      <c r="L60" s="92">
        <v>442</v>
      </c>
      <c r="M60" s="92">
        <v>398</v>
      </c>
      <c r="N60" s="93" t="s">
        <v>574</v>
      </c>
      <c r="O60" s="93" t="s">
        <v>574</v>
      </c>
      <c r="P60" s="93">
        <v>170</v>
      </c>
    </row>
    <row r="61" s="1" customFormat="1" spans="1:16">
      <c r="A61" s="90">
        <v>7830</v>
      </c>
      <c r="B61" s="90" t="s">
        <v>606</v>
      </c>
      <c r="C61" s="90" t="s">
        <v>638</v>
      </c>
      <c r="D61" s="91">
        <v>1248.48</v>
      </c>
      <c r="E61" s="91">
        <v>0</v>
      </c>
      <c r="F61" s="91">
        <f t="shared" si="1"/>
        <v>1248.48</v>
      </c>
      <c r="G61" s="91">
        <v>1248.48</v>
      </c>
      <c r="H61" s="91">
        <v>0</v>
      </c>
      <c r="I61" s="91">
        <v>0</v>
      </c>
      <c r="J61" s="91">
        <v>0</v>
      </c>
      <c r="K61" s="91">
        <v>0</v>
      </c>
      <c r="L61" s="92">
        <v>221</v>
      </c>
      <c r="M61" s="92">
        <v>180</v>
      </c>
      <c r="N61" s="93" t="s">
        <v>574</v>
      </c>
      <c r="O61" s="93">
        <v>0</v>
      </c>
      <c r="P61" s="93">
        <v>71</v>
      </c>
    </row>
    <row r="62" s="1" customFormat="1" spans="1:16">
      <c r="A62" s="90">
        <v>2764</v>
      </c>
      <c r="B62" s="90" t="s">
        <v>511</v>
      </c>
      <c r="C62" s="90" t="s">
        <v>639</v>
      </c>
      <c r="D62" s="91">
        <v>738.5</v>
      </c>
      <c r="E62" s="91">
        <v>6020.52</v>
      </c>
      <c r="F62" s="91">
        <f t="shared" si="1"/>
        <v>-5282.02</v>
      </c>
      <c r="G62" s="91">
        <v>738.5</v>
      </c>
      <c r="H62" s="91">
        <v>0</v>
      </c>
      <c r="I62" s="91">
        <v>0</v>
      </c>
      <c r="J62" s="91">
        <v>0</v>
      </c>
      <c r="K62" s="91">
        <v>0</v>
      </c>
      <c r="L62" s="92">
        <v>196</v>
      </c>
      <c r="M62" s="92">
        <v>211</v>
      </c>
      <c r="N62" s="93" t="s">
        <v>574</v>
      </c>
      <c r="O62" s="93">
        <v>0</v>
      </c>
      <c r="P62" s="93">
        <v>92</v>
      </c>
    </row>
  </sheetData>
  <autoFilter xmlns:etc="http://www.wps.cn/officeDocument/2017/etCustomData" ref="A8:P62" etc:filterBottomFollowUsedRange="0">
    <sortState ref="A8:P62">
      <sortCondition ref="K8:K9" descending="1"/>
    </sortState>
    <extLst/>
  </autoFilter>
  <mergeCells count="19">
    <mergeCell ref="E1:I1"/>
    <mergeCell ref="G7:K7"/>
    <mergeCell ref="A8:A9"/>
    <mergeCell ref="B8:B9"/>
    <mergeCell ref="C1:C2"/>
    <mergeCell ref="C8:C9"/>
    <mergeCell ref="D8:D9"/>
    <mergeCell ref="E8:E9"/>
    <mergeCell ref="F8:F9"/>
    <mergeCell ref="G8:G9"/>
    <mergeCell ref="H8:H9"/>
    <mergeCell ref="I8:I9"/>
    <mergeCell ref="J8:J9"/>
    <mergeCell ref="K8:K9"/>
    <mergeCell ref="L8:L9"/>
    <mergeCell ref="M8:M9"/>
    <mergeCell ref="N8:N9"/>
    <mergeCell ref="O8:O9"/>
    <mergeCell ref="P8:P9"/>
  </mergeCells>
  <conditionalFormatting sqref="D5:I5">
    <cfRule type="cellIs" dxfId="0" priority="1" operator="lessThan">
      <formula>0</formula>
    </cfRule>
    <cfRule type="cellIs" dxfId="1" priority="2" operator="greaterThan">
      <formula>0</formula>
    </cfRule>
  </conditionalFormatting>
  <pageMargins left="0.7" right="0.7" top="0.75" bottom="0.75" header="0.3" footer="0.3"/>
  <pageSetup paperSize="1" orientation="portrait"/>
  <headerFooter>
    <oddFooter>&amp;L&amp;1#&amp;"Calibri"&amp;10&amp;K000000John Keells Group - Confidential</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799432355723746"/>
  </sheetPr>
  <dimension ref="A1:P118"/>
  <sheetViews>
    <sheetView workbookViewId="0">
      <selection activeCell="K14" sqref="K14"/>
    </sheetView>
  </sheetViews>
  <sheetFormatPr defaultColWidth="9.12037037037037" defaultRowHeight="14.4"/>
  <cols>
    <col min="1" max="1" width="8.62962962962963" style="2" customWidth="1"/>
    <col min="2" max="2" width="8.75" style="2" customWidth="1"/>
    <col min="3" max="3" width="19.75" style="2" customWidth="1"/>
    <col min="4" max="4" width="14.6296296296296" style="3" customWidth="1"/>
    <col min="5" max="5" width="13.6296296296296" customWidth="1"/>
    <col min="6" max="6" width="12.8796296296296" style="3" customWidth="1"/>
    <col min="7" max="7" width="11.8796296296296" style="3" customWidth="1"/>
    <col min="8" max="9" width="12.1203703703704" style="3" customWidth="1"/>
    <col min="10" max="10" width="10.25" style="3" customWidth="1"/>
    <col min="11" max="11" width="10" style="3" customWidth="1"/>
    <col min="12" max="12" width="12.1203703703704" style="2" customWidth="1"/>
    <col min="13" max="13" width="12.8796296296296" style="2" customWidth="1"/>
    <col min="14" max="14" width="44.25" style="2" customWidth="1"/>
    <col min="15" max="15" width="27.6296296296296" style="2" customWidth="1"/>
    <col min="16" max="16" width="20" style="2" customWidth="1"/>
    <col min="17" max="16384" width="9.12037037037037" style="2"/>
  </cols>
  <sheetData>
    <row r="1" spans="1:16">
      <c r="A1" s="27"/>
      <c r="C1" s="262" t="s">
        <v>133</v>
      </c>
      <c r="D1" s="7" t="s">
        <v>134</v>
      </c>
      <c r="E1" s="8" t="s">
        <v>135</v>
      </c>
      <c r="F1" s="8"/>
      <c r="G1" s="8"/>
      <c r="H1" s="8"/>
      <c r="I1" s="9"/>
      <c r="J1" s="10"/>
      <c r="K1" s="10"/>
    </row>
    <row r="2" ht="15.6" customHeight="1" spans="1:16">
      <c r="A2" s="27" t="s">
        <v>570</v>
      </c>
      <c r="C2" s="263"/>
      <c r="D2" s="62" t="s">
        <v>137</v>
      </c>
      <c r="E2" s="264" t="s">
        <v>138</v>
      </c>
      <c r="F2" s="64" t="s">
        <v>139</v>
      </c>
      <c r="G2" s="64" t="s">
        <v>140</v>
      </c>
      <c r="H2" s="64" t="s">
        <v>141</v>
      </c>
      <c r="I2" s="65" t="s">
        <v>142</v>
      </c>
      <c r="J2" s="10"/>
      <c r="K2" s="10"/>
    </row>
    <row r="3" ht="15.6" customHeight="1" spans="1:16">
      <c r="A3" s="27"/>
      <c r="C3" s="17"/>
      <c r="D3" s="18"/>
      <c r="E3" s="265"/>
      <c r="F3" s="186"/>
      <c r="G3" s="186"/>
      <c r="H3" s="186"/>
      <c r="I3" s="186"/>
      <c r="J3" s="10"/>
      <c r="K3" s="10"/>
    </row>
    <row r="4" spans="1:16">
      <c r="A4" s="27"/>
      <c r="C4" s="17"/>
      <c r="D4" s="18"/>
      <c r="E4" s="265"/>
      <c r="F4" s="186"/>
      <c r="G4" s="186"/>
      <c r="H4" s="186"/>
      <c r="I4" s="186"/>
      <c r="J4" s="10"/>
      <c r="K4" s="10"/>
    </row>
    <row r="5" ht="15.15" spans="1:16">
      <c r="A5" s="27"/>
      <c r="C5" s="266"/>
      <c r="D5" s="23"/>
      <c r="E5" s="24"/>
      <c r="F5" s="25"/>
      <c r="G5" s="25"/>
      <c r="H5" s="25"/>
      <c r="I5" s="26"/>
      <c r="J5" s="10"/>
      <c r="K5" s="10"/>
    </row>
    <row r="6" ht="15.15" spans="1:16">
      <c r="A6" s="27"/>
      <c r="B6" s="27"/>
      <c r="C6" s="27"/>
      <c r="D6" s="28"/>
      <c r="E6" s="2"/>
      <c r="F6" s="28"/>
      <c r="G6" s="28"/>
      <c r="H6" s="28"/>
      <c r="I6" s="28"/>
      <c r="J6" s="28"/>
      <c r="K6" s="28"/>
      <c r="L6" s="27"/>
      <c r="M6" s="27"/>
    </row>
    <row r="7" spans="1:16">
      <c r="A7" s="27"/>
      <c r="B7" s="27"/>
      <c r="C7" s="27"/>
      <c r="D7" s="29"/>
      <c r="E7" s="29"/>
      <c r="F7" s="30"/>
      <c r="G7" s="31" t="s">
        <v>146</v>
      </c>
      <c r="H7" s="32"/>
      <c r="I7" s="32"/>
      <c r="J7" s="32"/>
      <c r="K7" s="33"/>
      <c r="L7" s="34"/>
      <c r="M7" s="34"/>
      <c r="N7" s="35"/>
      <c r="O7" s="70"/>
    </row>
    <row r="8" ht="16.5" customHeight="1" spans="1:16">
      <c r="A8" s="36" t="s">
        <v>147</v>
      </c>
      <c r="B8" s="36" t="s">
        <v>148</v>
      </c>
      <c r="C8" s="36" t="s">
        <v>149</v>
      </c>
      <c r="D8" s="37" t="s">
        <v>199</v>
      </c>
      <c r="E8" s="37" t="s">
        <v>200</v>
      </c>
      <c r="F8" s="37" t="s">
        <v>152</v>
      </c>
      <c r="G8" s="37" t="s">
        <v>153</v>
      </c>
      <c r="H8" s="37" t="s">
        <v>154</v>
      </c>
      <c r="I8" s="37" t="s">
        <v>155</v>
      </c>
      <c r="J8" s="37" t="s">
        <v>156</v>
      </c>
      <c r="K8" s="37" t="s">
        <v>157</v>
      </c>
      <c r="L8" s="36" t="s">
        <v>201</v>
      </c>
      <c r="M8" s="36" t="s">
        <v>202</v>
      </c>
      <c r="N8" s="38" t="s">
        <v>203</v>
      </c>
      <c r="O8" s="39" t="s">
        <v>161</v>
      </c>
      <c r="P8" s="39" t="s">
        <v>204</v>
      </c>
    </row>
    <row r="9" ht="29.25" customHeight="1" spans="1:16">
      <c r="A9" s="36"/>
      <c r="B9" s="36"/>
      <c r="C9" s="36"/>
      <c r="D9" s="37"/>
      <c r="E9" s="37"/>
      <c r="F9" s="37"/>
      <c r="G9" s="37"/>
      <c r="H9" s="37"/>
      <c r="I9" s="37"/>
      <c r="J9" s="37"/>
      <c r="K9" s="37"/>
      <c r="L9" s="36"/>
      <c r="M9" s="36"/>
      <c r="N9" s="38"/>
      <c r="O9" s="41"/>
      <c r="P9" s="41"/>
    </row>
    <row r="10" s="1" customFormat="1" spans="1:16">
      <c r="A10" s="224"/>
      <c r="B10" s="224"/>
      <c r="C10" s="224"/>
      <c r="D10" s="57"/>
      <c r="E10" s="57"/>
      <c r="F10" s="57">
        <f>D10-E10</f>
        <v>0</v>
      </c>
      <c r="G10" s="57"/>
      <c r="H10" s="57"/>
      <c r="I10" s="57"/>
      <c r="J10" s="57"/>
      <c r="K10" s="57"/>
      <c r="L10" s="225"/>
      <c r="M10" s="225"/>
      <c r="N10" s="267"/>
      <c r="O10" s="268"/>
      <c r="P10" s="85"/>
    </row>
    <row r="11" s="1" customFormat="1" spans="1:16">
      <c r="A11" s="224"/>
      <c r="B11" s="224"/>
      <c r="C11" s="224"/>
      <c r="D11" s="57"/>
      <c r="E11" s="57"/>
      <c r="F11" s="57">
        <f t="shared" ref="F11:F41" si="0">D11-E11</f>
        <v>0</v>
      </c>
      <c r="G11" s="57"/>
      <c r="H11" s="57"/>
      <c r="I11" s="57"/>
      <c r="J11" s="57"/>
      <c r="K11" s="57"/>
      <c r="L11" s="225"/>
      <c r="M11" s="225"/>
      <c r="N11" s="269"/>
      <c r="O11" s="268"/>
      <c r="P11" s="85"/>
    </row>
    <row r="12" s="1" customFormat="1" spans="1:16">
      <c r="A12" s="224"/>
      <c r="B12" s="224"/>
      <c r="C12" s="224"/>
      <c r="D12" s="57"/>
      <c r="E12" s="57"/>
      <c r="F12" s="57">
        <f t="shared" si="0"/>
        <v>0</v>
      </c>
      <c r="G12" s="57"/>
      <c r="H12" s="57"/>
      <c r="I12" s="57"/>
      <c r="J12" s="57"/>
      <c r="K12" s="57"/>
      <c r="L12" s="225"/>
      <c r="M12" s="225"/>
      <c r="N12" s="268"/>
      <c r="O12" s="268"/>
      <c r="P12" s="85"/>
    </row>
    <row r="13" s="1" customFormat="1" spans="1:16">
      <c r="A13" s="224"/>
      <c r="B13" s="224"/>
      <c r="C13" s="224"/>
      <c r="D13" s="57"/>
      <c r="E13" s="57"/>
      <c r="F13" s="57">
        <f t="shared" si="0"/>
        <v>0</v>
      </c>
      <c r="G13" s="57"/>
      <c r="H13" s="57"/>
      <c r="I13" s="57"/>
      <c r="J13" s="57"/>
      <c r="K13" s="57"/>
      <c r="L13" s="225"/>
      <c r="M13" s="225"/>
      <c r="N13" s="268"/>
      <c r="O13" s="268"/>
      <c r="P13" s="85"/>
    </row>
    <row r="14" s="1" customFormat="1" spans="1:16">
      <c r="A14" s="224"/>
      <c r="B14" s="224"/>
      <c r="C14" s="224"/>
      <c r="D14" s="57"/>
      <c r="E14" s="57"/>
      <c r="F14" s="57">
        <f t="shared" si="0"/>
        <v>0</v>
      </c>
      <c r="G14" s="57"/>
      <c r="H14" s="57"/>
      <c r="I14" s="57"/>
      <c r="J14" s="57"/>
      <c r="K14" s="57"/>
      <c r="L14" s="225"/>
      <c r="M14" s="225"/>
      <c r="N14" s="267"/>
      <c r="O14" s="268"/>
      <c r="P14" s="85"/>
    </row>
    <row r="15" s="1" customFormat="1" spans="1:16">
      <c r="A15" s="224"/>
      <c r="B15" s="224"/>
      <c r="C15" s="224"/>
      <c r="D15" s="57"/>
      <c r="E15" s="57"/>
      <c r="F15" s="57">
        <f t="shared" si="0"/>
        <v>0</v>
      </c>
      <c r="G15" s="57"/>
      <c r="H15" s="57"/>
      <c r="I15" s="57"/>
      <c r="J15" s="57"/>
      <c r="K15" s="57"/>
      <c r="L15" s="225"/>
      <c r="M15" s="225"/>
      <c r="N15" s="268"/>
      <c r="O15" s="268"/>
      <c r="P15" s="85"/>
    </row>
    <row r="16" s="1" customFormat="1" spans="1:16">
      <c r="A16" s="224"/>
      <c r="B16" s="224"/>
      <c r="C16" s="224"/>
      <c r="D16" s="57"/>
      <c r="E16" s="57"/>
      <c r="F16" s="57">
        <f t="shared" si="0"/>
        <v>0</v>
      </c>
      <c r="G16" s="57"/>
      <c r="H16" s="57"/>
      <c r="I16" s="57"/>
      <c r="J16" s="57"/>
      <c r="K16" s="57"/>
      <c r="L16" s="225"/>
      <c r="M16" s="225"/>
      <c r="N16" s="268"/>
      <c r="O16" s="268"/>
      <c r="P16" s="85"/>
    </row>
    <row r="17" s="1" customFormat="1" spans="1:16">
      <c r="A17" s="224"/>
      <c r="B17" s="224"/>
      <c r="C17" s="224"/>
      <c r="D17" s="57"/>
      <c r="E17" s="57"/>
      <c r="F17" s="57">
        <f t="shared" si="0"/>
        <v>0</v>
      </c>
      <c r="G17" s="57"/>
      <c r="H17" s="57"/>
      <c r="I17" s="57"/>
      <c r="J17" s="57"/>
      <c r="K17" s="57"/>
      <c r="L17" s="225"/>
      <c r="M17" s="225"/>
      <c r="N17" s="268"/>
      <c r="O17" s="268"/>
      <c r="P17" s="85"/>
    </row>
    <row r="18" s="1" customFormat="1" spans="1:16">
      <c r="A18" s="224"/>
      <c r="B18" s="224"/>
      <c r="C18" s="224"/>
      <c r="D18" s="57"/>
      <c r="E18" s="57"/>
      <c r="F18" s="57">
        <f t="shared" si="0"/>
        <v>0</v>
      </c>
      <c r="G18" s="57"/>
      <c r="H18" s="57"/>
      <c r="I18" s="57"/>
      <c r="J18" s="57"/>
      <c r="K18" s="57"/>
      <c r="L18" s="225"/>
      <c r="M18" s="225"/>
      <c r="N18" s="268"/>
      <c r="O18" s="268"/>
      <c r="P18" s="85"/>
    </row>
    <row r="19" s="1" customFormat="1" spans="1:16">
      <c r="A19" s="224"/>
      <c r="B19" s="224"/>
      <c r="C19" s="224"/>
      <c r="D19" s="57"/>
      <c r="E19" s="57"/>
      <c r="F19" s="57">
        <f t="shared" si="0"/>
        <v>0</v>
      </c>
      <c r="G19" s="57"/>
      <c r="H19" s="57"/>
      <c r="I19" s="57"/>
      <c r="J19" s="57"/>
      <c r="K19" s="57"/>
      <c r="L19" s="225"/>
      <c r="M19" s="225"/>
      <c r="N19" s="268"/>
      <c r="O19" s="268"/>
      <c r="P19" s="85"/>
    </row>
    <row r="20" s="1" customFormat="1" spans="1:16">
      <c r="A20" s="224"/>
      <c r="B20" s="224"/>
      <c r="C20" s="224"/>
      <c r="D20" s="57"/>
      <c r="E20" s="57"/>
      <c r="F20" s="57">
        <f t="shared" si="0"/>
        <v>0</v>
      </c>
      <c r="G20" s="57"/>
      <c r="H20" s="57"/>
      <c r="I20" s="57"/>
      <c r="J20" s="57"/>
      <c r="K20" s="57"/>
      <c r="L20" s="225"/>
      <c r="M20" s="225"/>
      <c r="N20" s="268"/>
      <c r="O20" s="268"/>
      <c r="P20" s="85"/>
    </row>
    <row r="21" s="1" customFormat="1" spans="1:16">
      <c r="A21" s="224"/>
      <c r="B21" s="224"/>
      <c r="C21" s="224"/>
      <c r="D21" s="57"/>
      <c r="E21" s="57"/>
      <c r="F21" s="57">
        <f t="shared" si="0"/>
        <v>0</v>
      </c>
      <c r="G21" s="57"/>
      <c r="H21" s="57"/>
      <c r="I21" s="57"/>
      <c r="J21" s="57"/>
      <c r="K21" s="57"/>
      <c r="L21" s="225"/>
      <c r="M21" s="225"/>
      <c r="N21" s="268"/>
      <c r="O21" s="268"/>
      <c r="P21" s="85"/>
    </row>
    <row r="22" s="1" customFormat="1" spans="1:16">
      <c r="A22" s="224"/>
      <c r="B22" s="224"/>
      <c r="C22" s="224"/>
      <c r="D22" s="57"/>
      <c r="E22" s="57"/>
      <c r="F22" s="57">
        <f t="shared" si="0"/>
        <v>0</v>
      </c>
      <c r="G22" s="57"/>
      <c r="H22" s="57"/>
      <c r="I22" s="57"/>
      <c r="J22" s="57"/>
      <c r="K22" s="57"/>
      <c r="L22" s="225"/>
      <c r="M22" s="225"/>
      <c r="N22" s="268"/>
      <c r="O22" s="268"/>
      <c r="P22" s="85"/>
    </row>
    <row r="23" s="1" customFormat="1" spans="1:16">
      <c r="A23" s="224"/>
      <c r="B23" s="224"/>
      <c r="C23" s="224"/>
      <c r="D23" s="57"/>
      <c r="E23" s="57"/>
      <c r="F23" s="57">
        <f t="shared" si="0"/>
        <v>0</v>
      </c>
      <c r="G23" s="57"/>
      <c r="H23" s="57"/>
      <c r="I23" s="57"/>
      <c r="J23" s="57"/>
      <c r="K23" s="57"/>
      <c r="L23" s="225"/>
      <c r="M23" s="225"/>
      <c r="N23" s="268"/>
      <c r="O23" s="268"/>
      <c r="P23" s="85"/>
    </row>
    <row r="24" s="1" customFormat="1" spans="1:16">
      <c r="A24" s="224"/>
      <c r="B24" s="224"/>
      <c r="C24" s="224"/>
      <c r="D24" s="57"/>
      <c r="E24" s="57"/>
      <c r="F24" s="57">
        <f t="shared" si="0"/>
        <v>0</v>
      </c>
      <c r="G24" s="57"/>
      <c r="H24" s="57"/>
      <c r="I24" s="57"/>
      <c r="J24" s="57"/>
      <c r="K24" s="57"/>
      <c r="L24" s="225"/>
      <c r="M24" s="225"/>
      <c r="N24" s="267"/>
      <c r="O24" s="268"/>
      <c r="P24" s="85"/>
    </row>
    <row r="25" s="1" customFormat="1" spans="1:16">
      <c r="A25" s="224"/>
      <c r="B25" s="224"/>
      <c r="C25" s="224"/>
      <c r="D25" s="57"/>
      <c r="E25" s="57"/>
      <c r="F25" s="57">
        <f t="shared" si="0"/>
        <v>0</v>
      </c>
      <c r="G25" s="57"/>
      <c r="H25" s="57"/>
      <c r="I25" s="57"/>
      <c r="J25" s="57"/>
      <c r="K25" s="57"/>
      <c r="L25" s="225"/>
      <c r="M25" s="225"/>
      <c r="N25" s="267"/>
      <c r="O25" s="268"/>
      <c r="P25" s="85"/>
    </row>
    <row r="26" s="1" customFormat="1" spans="1:16">
      <c r="A26" s="224"/>
      <c r="B26" s="224"/>
      <c r="C26" s="224"/>
      <c r="D26" s="57"/>
      <c r="E26" s="57"/>
      <c r="F26" s="57">
        <f t="shared" si="0"/>
        <v>0</v>
      </c>
      <c r="G26" s="57"/>
      <c r="H26" s="57"/>
      <c r="I26" s="57"/>
      <c r="J26" s="57"/>
      <c r="K26" s="57"/>
      <c r="L26" s="225"/>
      <c r="M26" s="225"/>
      <c r="N26" s="59"/>
      <c r="O26" s="268"/>
      <c r="P26" s="85"/>
    </row>
    <row r="27" s="1" customFormat="1" spans="1:16">
      <c r="A27" s="224"/>
      <c r="B27" s="224"/>
      <c r="C27" s="224"/>
      <c r="D27" s="57"/>
      <c r="E27" s="57"/>
      <c r="F27" s="57">
        <f t="shared" si="0"/>
        <v>0</v>
      </c>
      <c r="G27" s="57"/>
      <c r="H27" s="57"/>
      <c r="I27" s="57"/>
      <c r="J27" s="57"/>
      <c r="K27" s="57"/>
      <c r="L27" s="225"/>
      <c r="M27" s="225"/>
      <c r="N27" s="267"/>
      <c r="O27" s="268"/>
      <c r="P27" s="85"/>
    </row>
    <row r="28" s="1" customFormat="1" spans="1:16">
      <c r="A28" s="224"/>
      <c r="B28" s="224"/>
      <c r="C28" s="224"/>
      <c r="D28" s="57"/>
      <c r="E28" s="57"/>
      <c r="F28" s="57">
        <f t="shared" si="0"/>
        <v>0</v>
      </c>
      <c r="G28" s="57"/>
      <c r="H28" s="57"/>
      <c r="I28" s="57"/>
      <c r="J28" s="57"/>
      <c r="K28" s="57"/>
      <c r="L28" s="225"/>
      <c r="M28" s="225"/>
      <c r="N28" s="59"/>
      <c r="O28" s="268"/>
      <c r="P28" s="85"/>
    </row>
    <row r="29" s="1" customFormat="1" spans="1:16">
      <c r="A29" s="224"/>
      <c r="B29" s="224"/>
      <c r="C29" s="224"/>
      <c r="D29" s="57"/>
      <c r="E29" s="57"/>
      <c r="F29" s="57">
        <f t="shared" si="0"/>
        <v>0</v>
      </c>
      <c r="G29" s="57"/>
      <c r="H29" s="57"/>
      <c r="I29" s="57"/>
      <c r="J29" s="57"/>
      <c r="K29" s="57"/>
      <c r="L29" s="225"/>
      <c r="M29" s="225"/>
      <c r="N29" s="267"/>
      <c r="O29" s="268"/>
      <c r="P29" s="85"/>
    </row>
    <row r="30" s="1" customFormat="1" spans="1:16">
      <c r="A30" s="224"/>
      <c r="B30" s="224"/>
      <c r="C30" s="224"/>
      <c r="D30" s="57"/>
      <c r="E30" s="57"/>
      <c r="F30" s="57">
        <f t="shared" si="0"/>
        <v>0</v>
      </c>
      <c r="G30" s="57"/>
      <c r="H30" s="57"/>
      <c r="I30" s="57"/>
      <c r="J30" s="57"/>
      <c r="K30" s="57"/>
      <c r="L30" s="225"/>
      <c r="M30" s="225"/>
      <c r="N30" s="59"/>
      <c r="O30" s="268"/>
      <c r="P30" s="85"/>
    </row>
    <row r="31" s="1" customFormat="1" spans="1:16">
      <c r="A31" s="224"/>
      <c r="B31" s="224"/>
      <c r="C31" s="224"/>
      <c r="D31" s="57"/>
      <c r="E31" s="57"/>
      <c r="F31" s="57">
        <f t="shared" si="0"/>
        <v>0</v>
      </c>
      <c r="G31" s="57"/>
      <c r="H31" s="57"/>
      <c r="I31" s="57"/>
      <c r="J31" s="57"/>
      <c r="K31" s="57"/>
      <c r="L31" s="225"/>
      <c r="M31" s="225"/>
      <c r="N31" s="269"/>
      <c r="O31" s="268"/>
      <c r="P31" s="85"/>
    </row>
    <row r="32" s="1" customFormat="1" spans="1:16">
      <c r="A32" s="224"/>
      <c r="B32" s="224"/>
      <c r="C32" s="224"/>
      <c r="D32" s="57"/>
      <c r="E32" s="57"/>
      <c r="F32" s="57">
        <f t="shared" si="0"/>
        <v>0</v>
      </c>
      <c r="G32" s="57"/>
      <c r="H32" s="57"/>
      <c r="I32" s="57"/>
      <c r="J32" s="57"/>
      <c r="K32" s="57"/>
      <c r="L32" s="225"/>
      <c r="M32" s="225"/>
      <c r="N32" s="59"/>
      <c r="O32" s="268"/>
      <c r="P32" s="85"/>
    </row>
    <row r="33" s="1" customFormat="1" spans="1:16">
      <c r="A33" s="224"/>
      <c r="B33" s="224"/>
      <c r="C33" s="224"/>
      <c r="D33" s="57"/>
      <c r="E33" s="57"/>
      <c r="F33" s="57">
        <f t="shared" si="0"/>
        <v>0</v>
      </c>
      <c r="G33" s="57"/>
      <c r="H33" s="57"/>
      <c r="I33" s="57"/>
      <c r="J33" s="57"/>
      <c r="K33" s="57"/>
      <c r="L33" s="225"/>
      <c r="M33" s="225"/>
      <c r="N33" s="59"/>
      <c r="O33" s="268"/>
      <c r="P33" s="85"/>
    </row>
    <row r="34" s="1" customFormat="1" spans="1:16">
      <c r="A34" s="224"/>
      <c r="B34" s="224"/>
      <c r="C34" s="224"/>
      <c r="D34" s="57"/>
      <c r="E34" s="57"/>
      <c r="F34" s="57">
        <f t="shared" si="0"/>
        <v>0</v>
      </c>
      <c r="G34" s="57"/>
      <c r="H34" s="57"/>
      <c r="I34" s="57"/>
      <c r="J34" s="57"/>
      <c r="K34" s="57"/>
      <c r="L34" s="225"/>
      <c r="M34" s="225"/>
      <c r="N34" s="59"/>
      <c r="O34" s="268"/>
      <c r="P34" s="85"/>
    </row>
    <row r="35" s="1" customFormat="1" spans="1:16">
      <c r="A35" s="224"/>
      <c r="B35" s="224"/>
      <c r="C35" s="224"/>
      <c r="D35" s="57"/>
      <c r="E35" s="57"/>
      <c r="F35" s="57">
        <f t="shared" si="0"/>
        <v>0</v>
      </c>
      <c r="G35" s="57"/>
      <c r="H35" s="57"/>
      <c r="I35" s="57"/>
      <c r="J35" s="57"/>
      <c r="K35" s="57"/>
      <c r="L35" s="225"/>
      <c r="M35" s="225"/>
      <c r="N35" s="59"/>
      <c r="O35" s="268"/>
      <c r="P35" s="85"/>
    </row>
    <row r="36" s="1" customFormat="1" spans="1:16">
      <c r="A36" s="224"/>
      <c r="B36" s="224"/>
      <c r="C36" s="224"/>
      <c r="D36" s="57"/>
      <c r="E36" s="57"/>
      <c r="F36" s="57">
        <f t="shared" si="0"/>
        <v>0</v>
      </c>
      <c r="G36" s="57"/>
      <c r="H36" s="57"/>
      <c r="I36" s="57"/>
      <c r="J36" s="57"/>
      <c r="K36" s="57"/>
      <c r="L36" s="225"/>
      <c r="M36" s="225"/>
      <c r="N36" s="59"/>
      <c r="O36" s="268"/>
      <c r="P36" s="85"/>
    </row>
    <row r="37" s="1" customFormat="1" spans="1:16">
      <c r="A37" s="224"/>
      <c r="B37" s="224"/>
      <c r="C37" s="224"/>
      <c r="D37" s="57"/>
      <c r="E37" s="57"/>
      <c r="F37" s="57">
        <f t="shared" si="0"/>
        <v>0</v>
      </c>
      <c r="G37" s="57"/>
      <c r="H37" s="57"/>
      <c r="I37" s="57"/>
      <c r="J37" s="57"/>
      <c r="K37" s="57"/>
      <c r="L37" s="225"/>
      <c r="M37" s="225"/>
      <c r="N37" s="59"/>
      <c r="O37" s="268"/>
      <c r="P37" s="85"/>
    </row>
    <row r="38" s="1" customFormat="1" spans="1:16">
      <c r="A38" s="224"/>
      <c r="B38" s="224"/>
      <c r="C38" s="224"/>
      <c r="D38" s="57"/>
      <c r="E38" s="57"/>
      <c r="F38" s="57">
        <f t="shared" si="0"/>
        <v>0</v>
      </c>
      <c r="G38" s="57"/>
      <c r="H38" s="57"/>
      <c r="I38" s="57"/>
      <c r="J38" s="57"/>
      <c r="K38" s="57"/>
      <c r="L38" s="225"/>
      <c r="M38" s="225"/>
      <c r="N38" s="59"/>
      <c r="O38" s="268"/>
      <c r="P38" s="85"/>
    </row>
    <row r="39" s="1" customFormat="1" spans="1:16">
      <c r="A39" s="224"/>
      <c r="B39" s="224"/>
      <c r="C39" s="224"/>
      <c r="D39" s="57"/>
      <c r="E39" s="57"/>
      <c r="F39" s="57">
        <f t="shared" si="0"/>
        <v>0</v>
      </c>
      <c r="G39" s="57"/>
      <c r="H39" s="57"/>
      <c r="I39" s="57"/>
      <c r="J39" s="57"/>
      <c r="K39" s="57"/>
      <c r="L39" s="225"/>
      <c r="M39" s="225"/>
      <c r="N39" s="267"/>
      <c r="O39" s="268"/>
      <c r="P39" s="85"/>
    </row>
    <row r="40" s="1" customFormat="1" spans="1:16">
      <c r="A40" s="224"/>
      <c r="B40" s="224"/>
      <c r="C40" s="224"/>
      <c r="D40" s="57"/>
      <c r="E40" s="57"/>
      <c r="F40" s="57">
        <f t="shared" si="0"/>
        <v>0</v>
      </c>
      <c r="G40" s="57"/>
      <c r="H40" s="57"/>
      <c r="I40" s="57"/>
      <c r="J40" s="57"/>
      <c r="K40" s="57"/>
      <c r="L40" s="225"/>
      <c r="M40" s="225"/>
      <c r="N40" s="59"/>
      <c r="O40" s="268"/>
      <c r="P40" s="85"/>
    </row>
    <row r="41" s="1" customFormat="1" spans="1:16">
      <c r="A41" s="224"/>
      <c r="B41" s="224"/>
      <c r="C41" s="224"/>
      <c r="D41" s="57"/>
      <c r="E41" s="57"/>
      <c r="F41" s="57">
        <f t="shared" si="0"/>
        <v>0</v>
      </c>
      <c r="G41" s="57"/>
      <c r="H41" s="57"/>
      <c r="I41" s="57"/>
      <c r="J41" s="57"/>
      <c r="K41" s="57"/>
      <c r="L41" s="225"/>
      <c r="M41" s="225"/>
      <c r="N41" s="59"/>
      <c r="O41" s="268"/>
      <c r="P41" s="85"/>
    </row>
    <row r="42" s="1" customFormat="1" spans="1:16">
      <c r="A42" s="224"/>
      <c r="B42" s="224"/>
      <c r="C42" s="224"/>
      <c r="D42" s="57"/>
      <c r="E42" s="57"/>
      <c r="F42" s="57">
        <f t="shared" ref="F42:F73" si="1">D42-E42</f>
        <v>0</v>
      </c>
      <c r="G42" s="57"/>
      <c r="H42" s="57"/>
      <c r="I42" s="57"/>
      <c r="J42" s="57"/>
      <c r="K42" s="57"/>
      <c r="L42" s="225"/>
      <c r="M42" s="225"/>
      <c r="N42" s="59"/>
      <c r="O42" s="268"/>
      <c r="P42" s="85"/>
    </row>
    <row r="43" s="1" customFormat="1" spans="1:16">
      <c r="A43" s="224"/>
      <c r="B43" s="224"/>
      <c r="C43" s="224"/>
      <c r="D43" s="57"/>
      <c r="E43" s="57"/>
      <c r="F43" s="57">
        <f t="shared" si="1"/>
        <v>0</v>
      </c>
      <c r="G43" s="57"/>
      <c r="H43" s="57"/>
      <c r="I43" s="57"/>
      <c r="J43" s="57"/>
      <c r="K43" s="57"/>
      <c r="L43" s="225"/>
      <c r="M43" s="225"/>
      <c r="N43" s="59"/>
      <c r="O43" s="268"/>
      <c r="P43" s="85"/>
    </row>
    <row r="44" s="1" customFormat="1" spans="1:16">
      <c r="A44" s="224"/>
      <c r="B44" s="224"/>
      <c r="C44" s="224"/>
      <c r="D44" s="57"/>
      <c r="E44" s="57"/>
      <c r="F44" s="57">
        <f t="shared" si="1"/>
        <v>0</v>
      </c>
      <c r="G44" s="57"/>
      <c r="H44" s="57"/>
      <c r="I44" s="57"/>
      <c r="J44" s="57"/>
      <c r="K44" s="57"/>
      <c r="L44" s="225"/>
      <c r="M44" s="225"/>
      <c r="N44" s="59"/>
      <c r="O44" s="268"/>
      <c r="P44" s="85"/>
    </row>
    <row r="45" s="1" customFormat="1" spans="1:16">
      <c r="A45" s="224"/>
      <c r="B45" s="224"/>
      <c r="C45" s="224"/>
      <c r="D45" s="57"/>
      <c r="E45" s="57"/>
      <c r="F45" s="57">
        <f t="shared" si="1"/>
        <v>0</v>
      </c>
      <c r="G45" s="57"/>
      <c r="H45" s="57"/>
      <c r="I45" s="57"/>
      <c r="J45" s="57"/>
      <c r="K45" s="57"/>
      <c r="L45" s="225"/>
      <c r="M45" s="225"/>
      <c r="N45" s="59"/>
      <c r="O45" s="268"/>
      <c r="P45" s="85"/>
    </row>
    <row r="46" s="1" customFormat="1" spans="1:16">
      <c r="A46" s="224"/>
      <c r="B46" s="224"/>
      <c r="C46" s="224"/>
      <c r="D46" s="57"/>
      <c r="E46" s="57"/>
      <c r="F46" s="57">
        <f t="shared" si="1"/>
        <v>0</v>
      </c>
      <c r="G46" s="57"/>
      <c r="H46" s="57"/>
      <c r="I46" s="57"/>
      <c r="J46" s="57"/>
      <c r="K46" s="57"/>
      <c r="L46" s="225"/>
      <c r="M46" s="225"/>
      <c r="N46" s="59"/>
      <c r="O46" s="268"/>
      <c r="P46" s="85"/>
    </row>
    <row r="47" s="1" customFormat="1" spans="1:16">
      <c r="A47" s="224"/>
      <c r="B47" s="224"/>
      <c r="C47" s="224"/>
      <c r="D47" s="57"/>
      <c r="E47" s="57"/>
      <c r="F47" s="57">
        <f t="shared" si="1"/>
        <v>0</v>
      </c>
      <c r="G47" s="57"/>
      <c r="H47" s="57"/>
      <c r="I47" s="57"/>
      <c r="J47" s="57"/>
      <c r="K47" s="57"/>
      <c r="L47" s="225"/>
      <c r="M47" s="225"/>
      <c r="N47" s="59"/>
      <c r="O47" s="268"/>
      <c r="P47" s="85"/>
    </row>
    <row r="48" s="1" customFormat="1" spans="1:16">
      <c r="A48" s="224"/>
      <c r="B48" s="224"/>
      <c r="C48" s="224"/>
      <c r="D48" s="57"/>
      <c r="E48" s="57"/>
      <c r="F48" s="57">
        <f t="shared" si="1"/>
        <v>0</v>
      </c>
      <c r="G48" s="57"/>
      <c r="H48" s="57"/>
      <c r="I48" s="57"/>
      <c r="J48" s="57"/>
      <c r="K48" s="57"/>
      <c r="L48" s="225"/>
      <c r="M48" s="225"/>
      <c r="N48" s="59"/>
      <c r="O48" s="268"/>
      <c r="P48" s="85"/>
    </row>
    <row r="49" s="1" customFormat="1" spans="1:16">
      <c r="A49" s="224"/>
      <c r="B49" s="224"/>
      <c r="C49" s="224"/>
      <c r="D49" s="57"/>
      <c r="E49" s="57"/>
      <c r="F49" s="57">
        <f t="shared" si="1"/>
        <v>0</v>
      </c>
      <c r="G49" s="57"/>
      <c r="H49" s="57"/>
      <c r="I49" s="57"/>
      <c r="J49" s="57"/>
      <c r="K49" s="57"/>
      <c r="L49" s="225"/>
      <c r="M49" s="225"/>
      <c r="N49" s="268"/>
      <c r="O49" s="268"/>
      <c r="P49" s="85"/>
    </row>
    <row r="50" s="1" customFormat="1" spans="1:16">
      <c r="A50" s="224"/>
      <c r="B50" s="224"/>
      <c r="C50" s="224"/>
      <c r="D50" s="57"/>
      <c r="E50" s="57"/>
      <c r="F50" s="57">
        <f t="shared" si="1"/>
        <v>0</v>
      </c>
      <c r="G50" s="57"/>
      <c r="H50" s="57"/>
      <c r="I50" s="57"/>
      <c r="J50" s="57"/>
      <c r="K50" s="57"/>
      <c r="L50" s="225"/>
      <c r="M50" s="225"/>
      <c r="N50" s="59"/>
      <c r="O50" s="268"/>
      <c r="P50" s="85"/>
    </row>
    <row r="51" s="1" customFormat="1" spans="1:16">
      <c r="A51" s="224"/>
      <c r="B51" s="224"/>
      <c r="C51" s="224"/>
      <c r="D51" s="57"/>
      <c r="E51" s="57"/>
      <c r="F51" s="57">
        <f t="shared" si="1"/>
        <v>0</v>
      </c>
      <c r="G51" s="57"/>
      <c r="H51" s="57"/>
      <c r="I51" s="57"/>
      <c r="J51" s="57"/>
      <c r="K51" s="57"/>
      <c r="L51" s="225"/>
      <c r="M51" s="225"/>
      <c r="N51" s="267"/>
      <c r="O51" s="268"/>
      <c r="P51" s="85"/>
    </row>
    <row r="52" s="1" customFormat="1" spans="1:16">
      <c r="A52" s="224"/>
      <c r="B52" s="224"/>
      <c r="C52" s="224"/>
      <c r="D52" s="57"/>
      <c r="E52" s="57"/>
      <c r="F52" s="57">
        <f t="shared" si="1"/>
        <v>0</v>
      </c>
      <c r="G52" s="57"/>
      <c r="H52" s="57"/>
      <c r="I52" s="57"/>
      <c r="J52" s="57"/>
      <c r="K52" s="57"/>
      <c r="L52" s="225"/>
      <c r="M52" s="225"/>
      <c r="N52" s="59"/>
      <c r="O52" s="268"/>
      <c r="P52" s="85"/>
    </row>
    <row r="53" s="1" customFormat="1" spans="1:16">
      <c r="A53" s="224"/>
      <c r="B53" s="224"/>
      <c r="C53" s="224"/>
      <c r="D53" s="57"/>
      <c r="E53" s="57"/>
      <c r="F53" s="57">
        <f t="shared" si="1"/>
        <v>0</v>
      </c>
      <c r="G53" s="57"/>
      <c r="H53" s="57"/>
      <c r="I53" s="57"/>
      <c r="J53" s="57"/>
      <c r="K53" s="57"/>
      <c r="L53" s="225"/>
      <c r="M53" s="225"/>
      <c r="N53" s="59"/>
      <c r="O53" s="268"/>
      <c r="P53" s="85"/>
    </row>
    <row r="54" s="1" customFormat="1" spans="1:16">
      <c r="A54" s="224"/>
      <c r="B54" s="224"/>
      <c r="C54" s="224"/>
      <c r="D54" s="57"/>
      <c r="E54" s="57"/>
      <c r="F54" s="57">
        <f t="shared" si="1"/>
        <v>0</v>
      </c>
      <c r="G54" s="57"/>
      <c r="H54" s="57"/>
      <c r="I54" s="57"/>
      <c r="J54" s="57"/>
      <c r="K54" s="57"/>
      <c r="L54" s="225"/>
      <c r="M54" s="225"/>
      <c r="N54" s="268"/>
      <c r="O54" s="268"/>
      <c r="P54" s="85"/>
    </row>
    <row r="55" s="1" customFormat="1" spans="1:16">
      <c r="A55" s="224"/>
      <c r="B55" s="224"/>
      <c r="C55" s="224"/>
      <c r="D55" s="57"/>
      <c r="E55" s="57"/>
      <c r="F55" s="57">
        <f t="shared" si="1"/>
        <v>0</v>
      </c>
      <c r="G55" s="57"/>
      <c r="H55" s="57"/>
      <c r="I55" s="57"/>
      <c r="J55" s="57"/>
      <c r="K55" s="57"/>
      <c r="L55" s="225"/>
      <c r="M55" s="225"/>
      <c r="N55" s="268"/>
      <c r="O55" s="268"/>
      <c r="P55" s="85"/>
    </row>
    <row r="56" s="1" customFormat="1" spans="1:16">
      <c r="A56" s="224"/>
      <c r="B56" s="224"/>
      <c r="C56" s="224"/>
      <c r="D56" s="57"/>
      <c r="E56" s="57"/>
      <c r="F56" s="57">
        <f t="shared" si="1"/>
        <v>0</v>
      </c>
      <c r="G56" s="57"/>
      <c r="H56" s="57"/>
      <c r="I56" s="57"/>
      <c r="J56" s="57"/>
      <c r="K56" s="57"/>
      <c r="L56" s="225"/>
      <c r="M56" s="225"/>
      <c r="N56" s="59"/>
      <c r="O56" s="268"/>
      <c r="P56" s="85"/>
    </row>
    <row r="57" s="1" customFormat="1" spans="1:16">
      <c r="A57" s="224"/>
      <c r="B57" s="224"/>
      <c r="C57" s="224"/>
      <c r="D57" s="57"/>
      <c r="E57" s="57"/>
      <c r="F57" s="57">
        <f t="shared" si="1"/>
        <v>0</v>
      </c>
      <c r="G57" s="57"/>
      <c r="H57" s="57"/>
      <c r="I57" s="57"/>
      <c r="J57" s="57"/>
      <c r="K57" s="57"/>
      <c r="L57" s="225"/>
      <c r="M57" s="225"/>
      <c r="N57" s="59"/>
      <c r="O57" s="268"/>
      <c r="P57" s="85"/>
    </row>
    <row r="58" s="1" customFormat="1" spans="1:16">
      <c r="A58" s="224"/>
      <c r="B58" s="224"/>
      <c r="C58" s="224"/>
      <c r="D58" s="57"/>
      <c r="E58" s="57"/>
      <c r="F58" s="57">
        <f t="shared" si="1"/>
        <v>0</v>
      </c>
      <c r="G58" s="57"/>
      <c r="H58" s="57"/>
      <c r="I58" s="57"/>
      <c r="J58" s="57"/>
      <c r="K58" s="57"/>
      <c r="L58" s="225"/>
      <c r="M58" s="225"/>
      <c r="N58" s="268"/>
      <c r="O58" s="268"/>
      <c r="P58" s="85"/>
    </row>
    <row r="59" s="1" customFormat="1" spans="1:16">
      <c r="A59" s="224"/>
      <c r="B59" s="224"/>
      <c r="C59" s="224"/>
      <c r="D59" s="57"/>
      <c r="E59" s="57"/>
      <c r="F59" s="57">
        <f t="shared" si="1"/>
        <v>0</v>
      </c>
      <c r="G59" s="57"/>
      <c r="H59" s="57"/>
      <c r="I59" s="57"/>
      <c r="J59" s="57"/>
      <c r="K59" s="57"/>
      <c r="L59" s="225"/>
      <c r="M59" s="225"/>
      <c r="N59" s="59"/>
      <c r="O59" s="268"/>
      <c r="P59" s="85"/>
    </row>
    <row r="60" s="1" customFormat="1" spans="1:16">
      <c r="A60" s="224"/>
      <c r="B60" s="224"/>
      <c r="C60" s="224"/>
      <c r="D60" s="57"/>
      <c r="E60" s="57"/>
      <c r="F60" s="57">
        <f t="shared" si="1"/>
        <v>0</v>
      </c>
      <c r="G60" s="57"/>
      <c r="H60" s="57"/>
      <c r="I60" s="57"/>
      <c r="J60" s="57"/>
      <c r="K60" s="57"/>
      <c r="L60" s="225"/>
      <c r="M60" s="225"/>
      <c r="N60" s="268"/>
      <c r="O60" s="268"/>
      <c r="P60" s="85"/>
    </row>
    <row r="61" s="1" customFormat="1" spans="1:16">
      <c r="A61" s="224"/>
      <c r="B61" s="224"/>
      <c r="C61" s="224"/>
      <c r="D61" s="57"/>
      <c r="E61" s="57"/>
      <c r="F61" s="57">
        <f t="shared" si="1"/>
        <v>0</v>
      </c>
      <c r="G61" s="57"/>
      <c r="H61" s="57"/>
      <c r="I61" s="57"/>
      <c r="J61" s="57"/>
      <c r="K61" s="57"/>
      <c r="L61" s="225"/>
      <c r="M61" s="225"/>
      <c r="N61" s="59"/>
      <c r="O61" s="268"/>
      <c r="P61" s="85"/>
    </row>
    <row r="62" s="1" customFormat="1" spans="1:16">
      <c r="A62" s="224"/>
      <c r="B62" s="224"/>
      <c r="C62" s="224"/>
      <c r="D62" s="57"/>
      <c r="E62" s="57"/>
      <c r="F62" s="57">
        <f t="shared" si="1"/>
        <v>0</v>
      </c>
      <c r="G62" s="57"/>
      <c r="H62" s="57"/>
      <c r="I62" s="57"/>
      <c r="J62" s="57"/>
      <c r="K62" s="57"/>
      <c r="L62" s="225"/>
      <c r="M62" s="225"/>
      <c r="N62" s="268"/>
      <c r="O62" s="268"/>
      <c r="P62" s="85"/>
    </row>
    <row r="63" s="1" customFormat="1" spans="1:16">
      <c r="A63" s="224"/>
      <c r="B63" s="224"/>
      <c r="C63" s="224"/>
      <c r="D63" s="57"/>
      <c r="E63" s="57"/>
      <c r="F63" s="57">
        <f t="shared" si="1"/>
        <v>0</v>
      </c>
      <c r="G63" s="57"/>
      <c r="H63" s="57"/>
      <c r="I63" s="57"/>
      <c r="J63" s="57"/>
      <c r="K63" s="57"/>
      <c r="L63" s="225"/>
      <c r="M63" s="225"/>
      <c r="N63" s="59"/>
      <c r="O63" s="268"/>
      <c r="P63" s="85"/>
    </row>
    <row r="64" s="1" customFormat="1" spans="1:16">
      <c r="A64" s="224"/>
      <c r="B64" s="224"/>
      <c r="C64" s="224"/>
      <c r="D64" s="57"/>
      <c r="E64" s="57"/>
      <c r="F64" s="57">
        <f t="shared" si="1"/>
        <v>0</v>
      </c>
      <c r="G64" s="57"/>
      <c r="H64" s="57"/>
      <c r="I64" s="57"/>
      <c r="J64" s="57"/>
      <c r="K64" s="57"/>
      <c r="L64" s="225"/>
      <c r="M64" s="225"/>
      <c r="N64" s="59"/>
      <c r="O64" s="268"/>
      <c r="P64" s="85"/>
    </row>
    <row r="65" s="1" customFormat="1" spans="1:16">
      <c r="A65" s="224"/>
      <c r="B65" s="224"/>
      <c r="C65" s="224"/>
      <c r="D65" s="57"/>
      <c r="E65" s="57"/>
      <c r="F65" s="57">
        <f t="shared" si="1"/>
        <v>0</v>
      </c>
      <c r="G65" s="57"/>
      <c r="H65" s="57"/>
      <c r="I65" s="57"/>
      <c r="J65" s="57"/>
      <c r="K65" s="57"/>
      <c r="L65" s="225"/>
      <c r="M65" s="225"/>
      <c r="N65" s="59"/>
      <c r="O65" s="268"/>
      <c r="P65" s="85"/>
    </row>
    <row r="66" s="1" customFormat="1" spans="1:16">
      <c r="A66" s="224"/>
      <c r="B66" s="224"/>
      <c r="C66" s="224"/>
      <c r="D66" s="57"/>
      <c r="E66" s="57"/>
      <c r="F66" s="57">
        <f t="shared" si="1"/>
        <v>0</v>
      </c>
      <c r="G66" s="57"/>
      <c r="H66" s="57"/>
      <c r="I66" s="57"/>
      <c r="J66" s="57"/>
      <c r="K66" s="57"/>
      <c r="L66" s="225"/>
      <c r="M66" s="225"/>
      <c r="N66" s="268"/>
      <c r="O66" s="268"/>
      <c r="P66" s="85"/>
    </row>
    <row r="67" s="1" customFormat="1" spans="1:16">
      <c r="A67" s="224"/>
      <c r="B67" s="224"/>
      <c r="C67" s="224"/>
      <c r="D67" s="57"/>
      <c r="E67" s="57"/>
      <c r="F67" s="57">
        <f t="shared" si="1"/>
        <v>0</v>
      </c>
      <c r="G67" s="57"/>
      <c r="H67" s="57"/>
      <c r="I67" s="57"/>
      <c r="J67" s="57"/>
      <c r="K67" s="57"/>
      <c r="L67" s="225"/>
      <c r="M67" s="225"/>
      <c r="N67" s="268"/>
      <c r="O67" s="268"/>
      <c r="P67" s="85"/>
    </row>
    <row r="68" s="1" customFormat="1" spans="1:16">
      <c r="A68" s="224"/>
      <c r="B68" s="224"/>
      <c r="C68" s="224"/>
      <c r="D68" s="57"/>
      <c r="E68" s="57"/>
      <c r="F68" s="57">
        <f t="shared" si="1"/>
        <v>0</v>
      </c>
      <c r="G68" s="57"/>
      <c r="H68" s="57"/>
      <c r="I68" s="57"/>
      <c r="J68" s="57"/>
      <c r="K68" s="57"/>
      <c r="L68" s="225"/>
      <c r="M68" s="225"/>
      <c r="N68" s="268"/>
      <c r="O68" s="268"/>
      <c r="P68" s="85"/>
    </row>
    <row r="69" s="1" customFormat="1" spans="1:16">
      <c r="A69" s="224"/>
      <c r="B69" s="224"/>
      <c r="C69" s="224"/>
      <c r="D69" s="57"/>
      <c r="E69" s="57"/>
      <c r="F69" s="57">
        <f t="shared" si="1"/>
        <v>0</v>
      </c>
      <c r="G69" s="57"/>
      <c r="H69" s="57"/>
      <c r="I69" s="57"/>
      <c r="J69" s="57"/>
      <c r="K69" s="57"/>
      <c r="L69" s="225"/>
      <c r="M69" s="225"/>
      <c r="N69" s="268"/>
      <c r="O69" s="268"/>
      <c r="P69" s="85"/>
    </row>
    <row r="70" s="1" customFormat="1" spans="1:16">
      <c r="A70" s="224"/>
      <c r="B70" s="224"/>
      <c r="C70" s="224"/>
      <c r="D70" s="57"/>
      <c r="E70" s="57"/>
      <c r="F70" s="57">
        <f t="shared" si="1"/>
        <v>0</v>
      </c>
      <c r="G70" s="57"/>
      <c r="H70" s="57"/>
      <c r="I70" s="57"/>
      <c r="J70" s="57"/>
      <c r="K70" s="57"/>
      <c r="L70" s="225"/>
      <c r="M70" s="225"/>
      <c r="N70" s="268"/>
      <c r="O70" s="268"/>
      <c r="P70" s="85"/>
    </row>
    <row r="71" s="1" customFormat="1" spans="1:16">
      <c r="A71" s="224"/>
      <c r="B71" s="224"/>
      <c r="C71" s="224"/>
      <c r="D71" s="57"/>
      <c r="E71" s="57"/>
      <c r="F71" s="57">
        <f t="shared" si="1"/>
        <v>0</v>
      </c>
      <c r="G71" s="57"/>
      <c r="H71" s="57"/>
      <c r="I71" s="57"/>
      <c r="J71" s="57"/>
      <c r="K71" s="57"/>
      <c r="L71" s="225"/>
      <c r="M71" s="225"/>
      <c r="N71" s="268"/>
      <c r="O71" s="268"/>
      <c r="P71" s="85"/>
    </row>
    <row r="72" s="1" customFormat="1" spans="1:16">
      <c r="A72" s="224"/>
      <c r="B72" s="224"/>
      <c r="C72" s="224"/>
      <c r="D72" s="57"/>
      <c r="E72" s="57"/>
      <c r="F72" s="57">
        <f t="shared" si="1"/>
        <v>0</v>
      </c>
      <c r="G72" s="57"/>
      <c r="H72" s="57"/>
      <c r="I72" s="57"/>
      <c r="J72" s="57"/>
      <c r="K72" s="57"/>
      <c r="L72" s="225"/>
      <c r="M72" s="225"/>
      <c r="N72" s="268"/>
      <c r="O72" s="268"/>
      <c r="P72" s="85"/>
    </row>
    <row r="73" s="1" customFormat="1" spans="1:16">
      <c r="A73" s="224"/>
      <c r="B73" s="224"/>
      <c r="C73" s="224"/>
      <c r="D73" s="57"/>
      <c r="E73" s="57"/>
      <c r="F73" s="57">
        <f t="shared" si="1"/>
        <v>0</v>
      </c>
      <c r="G73" s="57"/>
      <c r="H73" s="57"/>
      <c r="I73" s="57"/>
      <c r="J73" s="57"/>
      <c r="K73" s="57"/>
      <c r="L73" s="225"/>
      <c r="M73" s="225"/>
      <c r="N73" s="268"/>
      <c r="O73" s="268"/>
      <c r="P73" s="85"/>
    </row>
    <row r="74" s="1" customFormat="1" spans="1:16">
      <c r="A74" s="224"/>
      <c r="B74" s="224"/>
      <c r="C74" s="224"/>
      <c r="D74" s="57"/>
      <c r="E74" s="57"/>
      <c r="F74" s="57">
        <f t="shared" ref="F74:F105" si="2">D74-E74</f>
        <v>0</v>
      </c>
      <c r="G74" s="57"/>
      <c r="H74" s="57"/>
      <c r="I74" s="57"/>
      <c r="J74" s="57"/>
      <c r="K74" s="57"/>
      <c r="L74" s="225"/>
      <c r="M74" s="225"/>
      <c r="N74" s="268"/>
      <c r="O74" s="268"/>
      <c r="P74" s="85"/>
    </row>
    <row r="75" s="1" customFormat="1" spans="1:16">
      <c r="A75" s="224"/>
      <c r="B75" s="224"/>
      <c r="C75" s="224"/>
      <c r="D75" s="57"/>
      <c r="E75" s="57"/>
      <c r="F75" s="57">
        <f t="shared" si="2"/>
        <v>0</v>
      </c>
      <c r="G75" s="57"/>
      <c r="H75" s="57"/>
      <c r="I75" s="57"/>
      <c r="J75" s="57"/>
      <c r="K75" s="57"/>
      <c r="L75" s="225"/>
      <c r="M75" s="225"/>
      <c r="N75" s="268"/>
      <c r="O75" s="268"/>
      <c r="P75" s="85"/>
    </row>
    <row r="76" s="1" customFormat="1" spans="1:16">
      <c r="A76" s="224"/>
      <c r="B76" s="224"/>
      <c r="C76" s="224"/>
      <c r="D76" s="57"/>
      <c r="E76" s="57"/>
      <c r="F76" s="57">
        <f t="shared" si="2"/>
        <v>0</v>
      </c>
      <c r="G76" s="57"/>
      <c r="H76" s="57"/>
      <c r="I76" s="57"/>
      <c r="J76" s="57"/>
      <c r="K76" s="57"/>
      <c r="L76" s="225"/>
      <c r="M76" s="225"/>
      <c r="N76" s="268"/>
      <c r="O76" s="268"/>
      <c r="P76" s="85"/>
    </row>
    <row r="77" s="1" customFormat="1" spans="1:16">
      <c r="A77" s="224"/>
      <c r="B77" s="224"/>
      <c r="C77" s="224"/>
      <c r="D77" s="57"/>
      <c r="E77" s="57"/>
      <c r="F77" s="57">
        <f t="shared" si="2"/>
        <v>0</v>
      </c>
      <c r="G77" s="57"/>
      <c r="H77" s="57"/>
      <c r="I77" s="57"/>
      <c r="J77" s="57"/>
      <c r="K77" s="57"/>
      <c r="L77" s="225"/>
      <c r="M77" s="225"/>
      <c r="N77" s="268"/>
      <c r="O77" s="268"/>
      <c r="P77" s="85"/>
    </row>
    <row r="78" s="1" customFormat="1" spans="1:16">
      <c r="A78" s="224"/>
      <c r="B78" s="224"/>
      <c r="C78" s="224"/>
      <c r="D78" s="57"/>
      <c r="E78" s="57"/>
      <c r="F78" s="57">
        <f t="shared" si="2"/>
        <v>0</v>
      </c>
      <c r="G78" s="57"/>
      <c r="H78" s="57"/>
      <c r="I78" s="57"/>
      <c r="J78" s="57"/>
      <c r="K78" s="57"/>
      <c r="L78" s="225"/>
      <c r="M78" s="225"/>
      <c r="N78" s="268"/>
      <c r="O78" s="268"/>
      <c r="P78" s="85"/>
    </row>
    <row r="79" s="1" customFormat="1" spans="1:16">
      <c r="A79" s="224"/>
      <c r="B79" s="224"/>
      <c r="C79" s="224"/>
      <c r="D79" s="57"/>
      <c r="E79" s="57"/>
      <c r="F79" s="57">
        <f t="shared" si="2"/>
        <v>0</v>
      </c>
      <c r="G79" s="57"/>
      <c r="H79" s="57"/>
      <c r="I79" s="57"/>
      <c r="J79" s="57"/>
      <c r="K79" s="57"/>
      <c r="L79" s="225"/>
      <c r="M79" s="225"/>
      <c r="N79" s="268"/>
      <c r="O79" s="268"/>
      <c r="P79" s="85"/>
    </row>
    <row r="80" spans="1:16">
      <c r="A80" s="224"/>
      <c r="B80" s="224"/>
      <c r="C80" s="224"/>
      <c r="D80" s="57"/>
      <c r="E80" s="57"/>
      <c r="F80" s="57">
        <f t="shared" si="2"/>
        <v>0</v>
      </c>
      <c r="G80" s="57"/>
      <c r="H80" s="57"/>
      <c r="I80" s="57"/>
      <c r="J80" s="57"/>
      <c r="K80" s="57"/>
      <c r="L80" s="225"/>
      <c r="M80" s="225"/>
      <c r="N80" s="268"/>
      <c r="O80" s="268"/>
      <c r="P80" s="85"/>
    </row>
    <row r="81" spans="1:16">
      <c r="A81" s="224"/>
      <c r="B81" s="224"/>
      <c r="C81" s="224"/>
      <c r="D81" s="57"/>
      <c r="E81" s="57"/>
      <c r="F81" s="57">
        <f t="shared" si="2"/>
        <v>0</v>
      </c>
      <c r="G81" s="57"/>
      <c r="H81" s="57"/>
      <c r="I81" s="57"/>
      <c r="J81" s="57"/>
      <c r="K81" s="57"/>
      <c r="L81" s="225"/>
      <c r="M81" s="225"/>
      <c r="N81" s="268"/>
      <c r="O81" s="268"/>
      <c r="P81" s="85"/>
    </row>
    <row r="82" spans="1:16">
      <c r="A82" s="224"/>
      <c r="B82" s="224"/>
      <c r="C82" s="224"/>
      <c r="D82" s="57"/>
      <c r="E82" s="57"/>
      <c r="F82" s="57">
        <f t="shared" si="2"/>
        <v>0</v>
      </c>
      <c r="G82" s="57"/>
      <c r="H82" s="57"/>
      <c r="I82" s="57"/>
      <c r="J82" s="57"/>
      <c r="K82" s="57"/>
      <c r="L82" s="225"/>
      <c r="M82" s="225"/>
      <c r="N82" s="268"/>
      <c r="O82" s="268"/>
      <c r="P82" s="85"/>
    </row>
    <row r="83" spans="1:16">
      <c r="A83" s="224"/>
      <c r="B83" s="224"/>
      <c r="C83" s="224"/>
      <c r="D83" s="57"/>
      <c r="E83" s="57"/>
      <c r="F83" s="57">
        <f t="shared" si="2"/>
        <v>0</v>
      </c>
      <c r="G83" s="57"/>
      <c r="H83" s="57"/>
      <c r="I83" s="57"/>
      <c r="J83" s="57"/>
      <c r="K83" s="57"/>
      <c r="L83" s="225"/>
      <c r="M83" s="225"/>
      <c r="N83" s="268"/>
      <c r="O83" s="268"/>
      <c r="P83" s="85"/>
    </row>
    <row r="84" s="1" customFormat="1" spans="1:16">
      <c r="A84" s="224"/>
      <c r="B84" s="224"/>
      <c r="C84" s="224"/>
      <c r="D84" s="57"/>
      <c r="E84" s="57"/>
      <c r="F84" s="57">
        <f t="shared" si="2"/>
        <v>0</v>
      </c>
      <c r="G84" s="57"/>
      <c r="H84" s="57"/>
      <c r="I84" s="57"/>
      <c r="J84" s="57"/>
      <c r="K84" s="57"/>
      <c r="L84" s="225"/>
      <c r="M84" s="225"/>
      <c r="N84" s="268"/>
      <c r="O84" s="268"/>
      <c r="P84" s="85"/>
    </row>
    <row r="85" s="1" customFormat="1" spans="1:16">
      <c r="A85" s="224"/>
      <c r="B85" s="224"/>
      <c r="C85" s="224"/>
      <c r="D85" s="57"/>
      <c r="E85" s="57"/>
      <c r="F85" s="57">
        <f t="shared" si="2"/>
        <v>0</v>
      </c>
      <c r="G85" s="57"/>
      <c r="H85" s="57"/>
      <c r="I85" s="57"/>
      <c r="J85" s="57"/>
      <c r="K85" s="57"/>
      <c r="L85" s="225"/>
      <c r="M85" s="225"/>
      <c r="N85" s="268"/>
      <c r="O85" s="268"/>
      <c r="P85" s="85"/>
    </row>
    <row r="86" s="1" customFormat="1" spans="1:16">
      <c r="A86" s="224"/>
      <c r="B86" s="224"/>
      <c r="C86" s="224"/>
      <c r="D86" s="57"/>
      <c r="E86" s="57"/>
      <c r="F86" s="57">
        <f t="shared" si="2"/>
        <v>0</v>
      </c>
      <c r="G86" s="57"/>
      <c r="H86" s="57"/>
      <c r="I86" s="57"/>
      <c r="J86" s="57"/>
      <c r="K86" s="57"/>
      <c r="L86" s="225"/>
      <c r="M86" s="225"/>
      <c r="N86" s="268"/>
      <c r="O86" s="268"/>
      <c r="P86" s="85"/>
    </row>
    <row r="87" s="1" customFormat="1" spans="1:16">
      <c r="A87" s="224"/>
      <c r="B87" s="224"/>
      <c r="C87" s="224"/>
      <c r="D87" s="57"/>
      <c r="E87" s="57"/>
      <c r="F87" s="57">
        <f t="shared" si="2"/>
        <v>0</v>
      </c>
      <c r="G87" s="57"/>
      <c r="H87" s="57"/>
      <c r="I87" s="57"/>
      <c r="J87" s="57"/>
      <c r="K87" s="57"/>
      <c r="L87" s="225"/>
      <c r="M87" s="225"/>
      <c r="N87" s="268"/>
      <c r="O87" s="268"/>
      <c r="P87" s="85"/>
    </row>
    <row r="88" s="1" customFormat="1" spans="1:16">
      <c r="A88" s="224"/>
      <c r="B88" s="224"/>
      <c r="C88" s="224"/>
      <c r="D88" s="57"/>
      <c r="E88" s="57"/>
      <c r="F88" s="57">
        <f t="shared" si="2"/>
        <v>0</v>
      </c>
      <c r="G88" s="57"/>
      <c r="H88" s="57"/>
      <c r="I88" s="57"/>
      <c r="J88" s="57"/>
      <c r="K88" s="57"/>
      <c r="L88" s="225"/>
      <c r="M88" s="225"/>
      <c r="N88" s="268"/>
      <c r="O88" s="268"/>
      <c r="P88" s="85"/>
    </row>
    <row r="89" s="1" customFormat="1" spans="1:16">
      <c r="A89" s="224"/>
      <c r="B89" s="224"/>
      <c r="C89" s="224"/>
      <c r="D89" s="57"/>
      <c r="E89" s="57"/>
      <c r="F89" s="57">
        <f t="shared" si="2"/>
        <v>0</v>
      </c>
      <c r="G89" s="57"/>
      <c r="H89" s="57"/>
      <c r="I89" s="57"/>
      <c r="J89" s="57"/>
      <c r="K89" s="57"/>
      <c r="L89" s="225"/>
      <c r="M89" s="225"/>
      <c r="N89" s="268"/>
      <c r="O89" s="268"/>
      <c r="P89" s="85"/>
    </row>
    <row r="90" s="1" customFormat="1" spans="1:16">
      <c r="A90" s="224"/>
      <c r="B90" s="224"/>
      <c r="C90" s="224"/>
      <c r="D90" s="57"/>
      <c r="E90" s="57"/>
      <c r="F90" s="57">
        <f t="shared" si="2"/>
        <v>0</v>
      </c>
      <c r="G90" s="57"/>
      <c r="H90" s="57"/>
      <c r="I90" s="57"/>
      <c r="J90" s="57"/>
      <c r="K90" s="57"/>
      <c r="L90" s="225"/>
      <c r="M90" s="225"/>
      <c r="N90" s="268"/>
      <c r="O90" s="268"/>
      <c r="P90" s="85"/>
    </row>
    <row r="91" s="1" customFormat="1" spans="1:16">
      <c r="A91" s="224"/>
      <c r="B91" s="224"/>
      <c r="C91" s="224"/>
      <c r="D91" s="57"/>
      <c r="E91" s="57"/>
      <c r="F91" s="57">
        <f t="shared" si="2"/>
        <v>0</v>
      </c>
      <c r="G91" s="57"/>
      <c r="H91" s="57"/>
      <c r="I91" s="57"/>
      <c r="J91" s="57"/>
      <c r="K91" s="57"/>
      <c r="L91" s="225"/>
      <c r="M91" s="225"/>
      <c r="N91" s="268"/>
      <c r="O91" s="268"/>
      <c r="P91" s="85"/>
    </row>
    <row r="92" s="1" customFormat="1" spans="1:16">
      <c r="A92" s="224"/>
      <c r="B92" s="224"/>
      <c r="C92" s="224"/>
      <c r="D92" s="57"/>
      <c r="E92" s="57"/>
      <c r="F92" s="57">
        <f t="shared" si="2"/>
        <v>0</v>
      </c>
      <c r="G92" s="57"/>
      <c r="H92" s="57"/>
      <c r="I92" s="57"/>
      <c r="J92" s="57"/>
      <c r="K92" s="57"/>
      <c r="L92" s="225"/>
      <c r="M92" s="225"/>
      <c r="N92" s="268"/>
      <c r="O92" s="268"/>
      <c r="P92" s="85"/>
    </row>
    <row r="93" s="1" customFormat="1" spans="1:16">
      <c r="A93" s="224"/>
      <c r="B93" s="224"/>
      <c r="C93" s="224"/>
      <c r="D93" s="57"/>
      <c r="E93" s="57"/>
      <c r="F93" s="57">
        <f t="shared" si="2"/>
        <v>0</v>
      </c>
      <c r="G93" s="57"/>
      <c r="H93" s="57"/>
      <c r="I93" s="57"/>
      <c r="J93" s="57"/>
      <c r="K93" s="57"/>
      <c r="L93" s="225"/>
      <c r="M93" s="225"/>
      <c r="N93" s="268"/>
      <c r="O93" s="268"/>
      <c r="P93" s="85"/>
    </row>
    <row r="94" s="1" customFormat="1" spans="1:16">
      <c r="A94" s="224"/>
      <c r="B94" s="224"/>
      <c r="C94" s="224"/>
      <c r="D94" s="57"/>
      <c r="E94" s="57"/>
      <c r="F94" s="57">
        <f t="shared" si="2"/>
        <v>0</v>
      </c>
      <c r="G94" s="57"/>
      <c r="H94" s="57"/>
      <c r="I94" s="57"/>
      <c r="J94" s="57"/>
      <c r="K94" s="57"/>
      <c r="L94" s="225"/>
      <c r="M94" s="225"/>
      <c r="N94" s="268"/>
      <c r="O94" s="268"/>
      <c r="P94" s="85"/>
    </row>
    <row r="95" s="1" customFormat="1" spans="1:16">
      <c r="A95" s="224"/>
      <c r="B95" s="224"/>
      <c r="C95" s="224"/>
      <c r="D95" s="57"/>
      <c r="E95" s="57"/>
      <c r="F95" s="57">
        <f t="shared" si="2"/>
        <v>0</v>
      </c>
      <c r="G95" s="57"/>
      <c r="H95" s="57"/>
      <c r="I95" s="57"/>
      <c r="J95" s="57"/>
      <c r="K95" s="57"/>
      <c r="L95" s="225"/>
      <c r="M95" s="225"/>
      <c r="N95" s="268"/>
      <c r="O95" s="268"/>
      <c r="P95" s="85"/>
    </row>
    <row r="96" s="1" customFormat="1" spans="1:16">
      <c r="A96" s="224"/>
      <c r="B96" s="224"/>
      <c r="C96" s="224"/>
      <c r="D96" s="57"/>
      <c r="E96" s="57"/>
      <c r="F96" s="57">
        <f t="shared" si="2"/>
        <v>0</v>
      </c>
      <c r="G96" s="57"/>
      <c r="H96" s="57"/>
      <c r="I96" s="57"/>
      <c r="J96" s="57"/>
      <c r="K96" s="57"/>
      <c r="L96" s="225"/>
      <c r="M96" s="225"/>
      <c r="N96" s="268"/>
      <c r="O96" s="268"/>
      <c r="P96" s="85"/>
    </row>
    <row r="97" s="1" customFormat="1" spans="1:16">
      <c r="A97" s="224"/>
      <c r="B97" s="224"/>
      <c r="C97" s="224"/>
      <c r="D97" s="57"/>
      <c r="E97" s="57"/>
      <c r="F97" s="57">
        <f t="shared" si="2"/>
        <v>0</v>
      </c>
      <c r="G97" s="57"/>
      <c r="H97" s="57"/>
      <c r="I97" s="57"/>
      <c r="J97" s="57"/>
      <c r="K97" s="57"/>
      <c r="L97" s="225"/>
      <c r="M97" s="225"/>
      <c r="N97" s="268"/>
      <c r="O97" s="268"/>
      <c r="P97" s="85"/>
    </row>
    <row r="98" s="1" customFormat="1" spans="1:16">
      <c r="A98" s="224"/>
      <c r="B98" s="224"/>
      <c r="C98" s="224"/>
      <c r="D98" s="57"/>
      <c r="E98" s="57"/>
      <c r="F98" s="57">
        <f t="shared" si="2"/>
        <v>0</v>
      </c>
      <c r="G98" s="57"/>
      <c r="H98" s="57"/>
      <c r="I98" s="57"/>
      <c r="J98" s="57"/>
      <c r="K98" s="57"/>
      <c r="L98" s="225"/>
      <c r="M98" s="225"/>
      <c r="N98" s="268"/>
      <c r="O98" s="268"/>
      <c r="P98" s="85"/>
    </row>
    <row r="99" s="1" customFormat="1" spans="1:16">
      <c r="A99" s="224"/>
      <c r="B99" s="224"/>
      <c r="C99" s="224"/>
      <c r="D99" s="57"/>
      <c r="E99" s="57"/>
      <c r="F99" s="57">
        <f t="shared" si="2"/>
        <v>0</v>
      </c>
      <c r="G99" s="57"/>
      <c r="H99" s="57"/>
      <c r="I99" s="57"/>
      <c r="J99" s="57"/>
      <c r="K99" s="57"/>
      <c r="L99" s="225"/>
      <c r="M99" s="225"/>
      <c r="N99" s="268"/>
      <c r="O99" s="268"/>
      <c r="P99" s="85"/>
    </row>
    <row r="100" s="1" customFormat="1" spans="1:16">
      <c r="A100" s="224"/>
      <c r="B100" s="224"/>
      <c r="C100" s="224"/>
      <c r="D100" s="57"/>
      <c r="E100" s="57"/>
      <c r="F100" s="57">
        <f t="shared" si="2"/>
        <v>0</v>
      </c>
      <c r="G100" s="57"/>
      <c r="H100" s="57"/>
      <c r="I100" s="57"/>
      <c r="J100" s="57"/>
      <c r="K100" s="57"/>
      <c r="L100" s="225"/>
      <c r="M100" s="225"/>
      <c r="N100" s="268"/>
      <c r="O100" s="268"/>
      <c r="P100" s="85"/>
    </row>
    <row r="101" s="1" customFormat="1" spans="1:16">
      <c r="A101" s="224"/>
      <c r="B101" s="224"/>
      <c r="C101" s="224"/>
      <c r="D101" s="57"/>
      <c r="E101" s="57"/>
      <c r="F101" s="57">
        <f t="shared" si="2"/>
        <v>0</v>
      </c>
      <c r="G101" s="57"/>
      <c r="H101" s="57"/>
      <c r="I101" s="57"/>
      <c r="J101" s="57"/>
      <c r="K101" s="57"/>
      <c r="L101" s="225"/>
      <c r="M101" s="225"/>
      <c r="N101" s="268"/>
      <c r="O101" s="268"/>
      <c r="P101" s="85"/>
    </row>
    <row r="102" s="1" customFormat="1" spans="1:16">
      <c r="A102" s="224"/>
      <c r="B102" s="224"/>
      <c r="C102" s="224"/>
      <c r="D102" s="57"/>
      <c r="E102" s="57"/>
      <c r="F102" s="57">
        <f t="shared" si="2"/>
        <v>0</v>
      </c>
      <c r="G102" s="57"/>
      <c r="H102" s="57"/>
      <c r="I102" s="57"/>
      <c r="J102" s="57"/>
      <c r="K102" s="57"/>
      <c r="L102" s="225"/>
      <c r="M102" s="225"/>
      <c r="N102" s="268"/>
      <c r="O102" s="268"/>
      <c r="P102" s="85"/>
    </row>
    <row r="103" s="1" customFormat="1" spans="1:16">
      <c r="A103" s="224"/>
      <c r="B103" s="224"/>
      <c r="C103" s="224"/>
      <c r="D103" s="57"/>
      <c r="E103" s="57"/>
      <c r="F103" s="57">
        <f t="shared" si="2"/>
        <v>0</v>
      </c>
      <c r="G103" s="57"/>
      <c r="H103" s="57"/>
      <c r="I103" s="57"/>
      <c r="J103" s="57"/>
      <c r="K103" s="57"/>
      <c r="L103" s="225"/>
      <c r="M103" s="225"/>
      <c r="N103" s="268"/>
      <c r="O103" s="268"/>
      <c r="P103" s="85"/>
    </row>
    <row r="104" s="1" customFormat="1" spans="1:16">
      <c r="A104" s="224"/>
      <c r="B104" s="224"/>
      <c r="C104" s="224"/>
      <c r="D104" s="57"/>
      <c r="E104" s="57"/>
      <c r="F104" s="57">
        <f t="shared" si="2"/>
        <v>0</v>
      </c>
      <c r="G104" s="57"/>
      <c r="H104" s="57"/>
      <c r="I104" s="57"/>
      <c r="J104" s="57"/>
      <c r="K104" s="57"/>
      <c r="L104" s="225"/>
      <c r="M104" s="225"/>
      <c r="N104" s="268"/>
      <c r="O104" s="268"/>
      <c r="P104" s="85"/>
    </row>
    <row r="105" spans="1:16">
      <c r="A105" s="224"/>
      <c r="B105" s="224"/>
      <c r="C105" s="224"/>
      <c r="D105" s="57"/>
      <c r="E105" s="57"/>
      <c r="F105" s="57">
        <f t="shared" si="2"/>
        <v>0</v>
      </c>
      <c r="G105" s="57"/>
      <c r="H105" s="57"/>
      <c r="I105" s="57"/>
      <c r="J105" s="57"/>
      <c r="K105" s="57"/>
      <c r="L105" s="225"/>
      <c r="M105" s="225"/>
      <c r="N105" s="268"/>
      <c r="O105" s="268"/>
      <c r="P105" s="85"/>
    </row>
    <row r="106" spans="1:16">
      <c r="A106" s="224"/>
      <c r="B106" s="224"/>
      <c r="C106" s="224"/>
      <c r="D106" s="57"/>
      <c r="E106" s="57"/>
      <c r="F106" s="57">
        <f t="shared" ref="F106:F118" si="3">D106-E106</f>
        <v>0</v>
      </c>
      <c r="G106" s="57"/>
      <c r="H106" s="57"/>
      <c r="I106" s="57"/>
      <c r="J106" s="57"/>
      <c r="K106" s="57"/>
      <c r="L106" s="225"/>
      <c r="M106" s="225"/>
      <c r="N106" s="268"/>
      <c r="O106" s="268"/>
      <c r="P106" s="85"/>
    </row>
    <row r="107" spans="1:16">
      <c r="A107" s="224"/>
      <c r="B107" s="224"/>
      <c r="C107" s="224"/>
      <c r="D107" s="57"/>
      <c r="E107" s="57"/>
      <c r="F107" s="57">
        <f t="shared" si="3"/>
        <v>0</v>
      </c>
      <c r="G107" s="57"/>
      <c r="H107" s="57"/>
      <c r="I107" s="57"/>
      <c r="J107" s="57"/>
      <c r="K107" s="57"/>
      <c r="L107" s="225"/>
      <c r="M107" s="225"/>
      <c r="N107" s="268"/>
      <c r="O107" s="268"/>
      <c r="P107" s="85"/>
    </row>
    <row r="108" spans="1:16">
      <c r="A108" s="224"/>
      <c r="B108" s="224"/>
      <c r="C108" s="224"/>
      <c r="D108" s="57"/>
      <c r="E108" s="57"/>
      <c r="F108" s="57">
        <f t="shared" si="3"/>
        <v>0</v>
      </c>
      <c r="G108" s="57"/>
      <c r="H108" s="57"/>
      <c r="I108" s="57"/>
      <c r="J108" s="57"/>
      <c r="K108" s="57"/>
      <c r="L108" s="225"/>
      <c r="M108" s="225"/>
      <c r="N108" s="268"/>
      <c r="O108" s="268"/>
      <c r="P108" s="85"/>
    </row>
    <row r="109" spans="1:16">
      <c r="A109" s="224"/>
      <c r="B109" s="224"/>
      <c r="C109" s="224"/>
      <c r="D109" s="57"/>
      <c r="E109" s="57"/>
      <c r="F109" s="57">
        <f t="shared" si="3"/>
        <v>0</v>
      </c>
      <c r="G109" s="57"/>
      <c r="H109" s="57"/>
      <c r="I109" s="57"/>
      <c r="J109" s="57"/>
      <c r="K109" s="57"/>
      <c r="L109" s="225"/>
      <c r="M109" s="225"/>
      <c r="N109" s="268"/>
      <c r="O109" s="268"/>
      <c r="P109" s="85"/>
    </row>
    <row r="110" spans="1:16">
      <c r="A110" s="224"/>
      <c r="B110" s="224"/>
      <c r="C110" s="224"/>
      <c r="D110" s="57"/>
      <c r="E110" s="57"/>
      <c r="F110" s="57">
        <f t="shared" si="3"/>
        <v>0</v>
      </c>
      <c r="G110" s="57"/>
      <c r="H110" s="57"/>
      <c r="I110" s="57"/>
      <c r="J110" s="57"/>
      <c r="K110" s="57"/>
      <c r="L110" s="225"/>
      <c r="M110" s="225"/>
      <c r="N110" s="268"/>
      <c r="O110" s="268"/>
      <c r="P110" s="85"/>
    </row>
    <row r="111" spans="1:16">
      <c r="A111" s="224"/>
      <c r="B111" s="224"/>
      <c r="C111" s="224"/>
      <c r="D111" s="57"/>
      <c r="E111" s="57"/>
      <c r="F111" s="57">
        <f t="shared" si="3"/>
        <v>0</v>
      </c>
      <c r="G111" s="57"/>
      <c r="H111" s="57"/>
      <c r="I111" s="57"/>
      <c r="J111" s="57"/>
      <c r="K111" s="57"/>
      <c r="L111" s="225"/>
      <c r="M111" s="225"/>
      <c r="N111" s="268"/>
      <c r="O111" s="268"/>
      <c r="P111" s="85"/>
    </row>
    <row r="112" spans="1:16">
      <c r="A112" s="224"/>
      <c r="B112" s="224"/>
      <c r="C112" s="224"/>
      <c r="D112" s="57"/>
      <c r="E112" s="57"/>
      <c r="F112" s="57">
        <f t="shared" si="3"/>
        <v>0</v>
      </c>
      <c r="G112" s="57"/>
      <c r="H112" s="57"/>
      <c r="I112" s="57"/>
      <c r="J112" s="57"/>
      <c r="K112" s="57"/>
      <c r="L112" s="225"/>
      <c r="M112" s="225"/>
      <c r="N112" s="268"/>
      <c r="O112" s="268"/>
      <c r="P112" s="85"/>
    </row>
    <row r="113" spans="1:16">
      <c r="A113" s="224"/>
      <c r="B113" s="224"/>
      <c r="C113" s="224"/>
      <c r="D113" s="57"/>
      <c r="E113" s="57"/>
      <c r="F113" s="57">
        <f t="shared" si="3"/>
        <v>0</v>
      </c>
      <c r="G113" s="57"/>
      <c r="H113" s="57"/>
      <c r="I113" s="57"/>
      <c r="J113" s="57"/>
      <c r="K113" s="57"/>
      <c r="L113" s="225"/>
      <c r="M113" s="225"/>
      <c r="N113" s="268"/>
      <c r="O113" s="268"/>
      <c r="P113" s="85"/>
    </row>
    <row r="114" spans="1:16">
      <c r="A114" s="224"/>
      <c r="B114" s="224"/>
      <c r="C114" s="224"/>
      <c r="D114" s="57"/>
      <c r="E114" s="57"/>
      <c r="F114" s="57">
        <f t="shared" si="3"/>
        <v>0</v>
      </c>
      <c r="G114" s="57"/>
      <c r="H114" s="57"/>
      <c r="I114" s="57"/>
      <c r="J114" s="57"/>
      <c r="K114" s="57"/>
      <c r="L114" s="225"/>
      <c r="M114" s="225"/>
      <c r="N114" s="268"/>
      <c r="O114" s="268"/>
      <c r="P114" s="85"/>
    </row>
    <row r="115" spans="1:16">
      <c r="A115" s="224"/>
      <c r="B115" s="224"/>
      <c r="C115" s="224"/>
      <c r="D115" s="57"/>
      <c r="E115" s="57"/>
      <c r="F115" s="57">
        <f t="shared" si="3"/>
        <v>0</v>
      </c>
      <c r="G115" s="57"/>
      <c r="H115" s="57"/>
      <c r="I115" s="57"/>
      <c r="J115" s="57"/>
      <c r="K115" s="57"/>
      <c r="L115" s="225"/>
      <c r="M115" s="225"/>
      <c r="N115" s="268"/>
      <c r="O115" s="268"/>
      <c r="P115" s="85"/>
    </row>
    <row r="116" spans="1:16">
      <c r="A116" s="224"/>
      <c r="B116" s="224"/>
      <c r="C116" s="224"/>
      <c r="D116" s="57"/>
      <c r="E116" s="57"/>
      <c r="F116" s="57">
        <f t="shared" si="3"/>
        <v>0</v>
      </c>
      <c r="G116" s="57"/>
      <c r="H116" s="57"/>
      <c r="I116" s="57"/>
      <c r="J116" s="57"/>
      <c r="K116" s="57"/>
      <c r="L116" s="225"/>
      <c r="M116" s="225"/>
      <c r="N116" s="268"/>
      <c r="O116" s="268"/>
      <c r="P116" s="85"/>
    </row>
    <row r="117" spans="1:16">
      <c r="A117" s="224"/>
      <c r="B117" s="224"/>
      <c r="C117" s="224"/>
      <c r="D117" s="57"/>
      <c r="E117" s="57"/>
      <c r="F117" s="57">
        <f t="shared" si="3"/>
        <v>0</v>
      </c>
      <c r="G117" s="57"/>
      <c r="H117" s="57"/>
      <c r="I117" s="57"/>
      <c r="J117" s="57"/>
      <c r="K117" s="57"/>
      <c r="L117" s="225"/>
      <c r="M117" s="225"/>
      <c r="N117" s="268"/>
      <c r="O117" s="268"/>
      <c r="P117" s="85"/>
    </row>
    <row r="118" spans="1:16">
      <c r="A118" s="224"/>
      <c r="B118" s="224"/>
      <c r="C118" s="224"/>
      <c r="D118" s="57"/>
      <c r="E118" s="57"/>
      <c r="F118" s="57">
        <f t="shared" si="3"/>
        <v>0</v>
      </c>
      <c r="G118" s="57"/>
      <c r="H118" s="57"/>
      <c r="I118" s="57"/>
      <c r="J118" s="57"/>
      <c r="K118" s="57"/>
      <c r="L118" s="225"/>
      <c r="M118" s="225"/>
      <c r="N118" s="268"/>
      <c r="O118" s="268"/>
      <c r="P118" s="85"/>
    </row>
  </sheetData>
  <autoFilter xmlns:etc="http://www.wps.cn/officeDocument/2017/etCustomData" ref="A8:P118" etc:filterBottomFollowUsedRange="0">
    <sortState ref="A8:P118">
      <sortCondition ref="G8:G118" descending="1"/>
    </sortState>
    <extLst/>
  </autoFilter>
  <mergeCells count="19">
    <mergeCell ref="E1:I1"/>
    <mergeCell ref="G7:K7"/>
    <mergeCell ref="A8:A9"/>
    <mergeCell ref="B8:B9"/>
    <mergeCell ref="C1:C2"/>
    <mergeCell ref="C8:C9"/>
    <mergeCell ref="D8:D9"/>
    <mergeCell ref="E8:E9"/>
    <mergeCell ref="F8:F9"/>
    <mergeCell ref="G8:G9"/>
    <mergeCell ref="H8:H9"/>
    <mergeCell ref="I8:I9"/>
    <mergeCell ref="J8:J9"/>
    <mergeCell ref="K8:K9"/>
    <mergeCell ref="L8:L9"/>
    <mergeCell ref="M8:M9"/>
    <mergeCell ref="N8:N9"/>
    <mergeCell ref="O8:O9"/>
    <mergeCell ref="P8:P9"/>
  </mergeCells>
  <conditionalFormatting sqref="D5:I5">
    <cfRule type="cellIs" dxfId="0" priority="1" operator="lessThan">
      <formula>0</formula>
    </cfRule>
    <cfRule type="cellIs" dxfId="1" priority="2" operator="greaterThan">
      <formula>0</formula>
    </cfRule>
  </conditionalFormatting>
  <pageMargins left="0.7" right="0.7" top="0.75" bottom="0.75" header="0.3" footer="0.3"/>
  <pageSetup paperSize="1" orientation="portrait"/>
  <headerFooter>
    <oddFooter>&amp;L&amp;1#&amp;"Calibri"&amp;10&amp;K000000John Keells Group - Confidential</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499984740745262"/>
  </sheetPr>
  <dimension ref="A2:O55"/>
  <sheetViews>
    <sheetView view="pageBreakPreview" zoomScale="90" zoomScaleNormal="100" workbookViewId="0">
      <selection activeCell="A2" sqref="A2"/>
    </sheetView>
  </sheetViews>
  <sheetFormatPr defaultColWidth="9" defaultRowHeight="14.4"/>
  <cols>
    <col min="1" max="1" width="21.6296296296296" customWidth="1"/>
    <col min="2" max="2" width="8.62962962962963" customWidth="1"/>
    <col min="3" max="3" width="11.8796296296296" customWidth="1"/>
    <col min="4" max="10" width="15.25" customWidth="1"/>
    <col min="11" max="11" width="14" customWidth="1"/>
    <col min="12" max="12" width="14.25" customWidth="1"/>
    <col min="13" max="13" width="14.75" style="100" customWidth="1"/>
    <col min="14" max="14" width="14.75" customWidth="1"/>
    <col min="15" max="15" width="16.6296296296296" hidden="1" customWidth="1"/>
    <col min="16" max="16" width="12.1203703703704" customWidth="1"/>
  </cols>
  <sheetData>
    <row r="2" spans="1:14">
      <c r="A2" t="s">
        <v>640</v>
      </c>
    </row>
    <row r="4" spans="1:14">
      <c r="A4" s="106" t="s">
        <v>17</v>
      </c>
      <c r="B4" s="106"/>
      <c r="C4" s="106"/>
      <c r="D4" s="106"/>
      <c r="E4" s="106"/>
      <c r="F4" s="106"/>
      <c r="G4" s="106"/>
      <c r="H4" s="106"/>
      <c r="I4" s="106"/>
      <c r="J4" s="106"/>
      <c r="K4" s="106"/>
      <c r="L4" s="106"/>
      <c r="M4" s="106"/>
      <c r="N4" s="106"/>
    </row>
    <row r="6" spans="1:14">
      <c r="C6" s="107" t="s">
        <v>18</v>
      </c>
      <c r="D6" s="107"/>
      <c r="E6" s="107"/>
      <c r="F6" s="108"/>
      <c r="G6" s="109" t="s">
        <v>19</v>
      </c>
      <c r="H6" s="110"/>
      <c r="I6" s="111"/>
      <c r="J6" s="109" t="s">
        <v>20</v>
      </c>
      <c r="K6" s="110"/>
      <c r="L6" s="111"/>
    </row>
    <row r="7" spans="1:14">
      <c r="A7" s="114" t="s">
        <v>21</v>
      </c>
      <c r="B7" s="114" t="s">
        <v>22</v>
      </c>
      <c r="C7" s="113">
        <v>43851</v>
      </c>
      <c r="D7" s="114" t="s">
        <v>23</v>
      </c>
      <c r="E7" s="114" t="s">
        <v>24</v>
      </c>
      <c r="F7" s="114" t="s">
        <v>25</v>
      </c>
      <c r="G7" s="113">
        <v>43851</v>
      </c>
      <c r="H7" s="114" t="s">
        <v>26</v>
      </c>
      <c r="I7" s="114" t="s">
        <v>27</v>
      </c>
      <c r="J7" s="113">
        <v>43851</v>
      </c>
      <c r="K7" s="114" t="s">
        <v>26</v>
      </c>
      <c r="L7" s="114" t="s">
        <v>27</v>
      </c>
      <c r="M7" s="114" t="s">
        <v>28</v>
      </c>
      <c r="N7" s="114"/>
    </row>
    <row r="8" spans="1:14">
      <c r="A8" s="233" t="s">
        <v>641</v>
      </c>
      <c r="B8" s="164">
        <v>2668</v>
      </c>
      <c r="C8" s="45">
        <v>0</v>
      </c>
      <c r="D8" s="166">
        <v>134242.56</v>
      </c>
      <c r="E8" s="171">
        <v>0</v>
      </c>
      <c r="F8" s="234">
        <f>E8-D8</f>
        <v>-134242.56</v>
      </c>
      <c r="G8" s="45">
        <v>0</v>
      </c>
      <c r="H8" s="45">
        <v>420000</v>
      </c>
      <c r="I8" s="45">
        <v>530000</v>
      </c>
      <c r="J8" s="45">
        <v>0</v>
      </c>
      <c r="K8" s="45">
        <v>3234</v>
      </c>
      <c r="L8" s="45">
        <v>6898</v>
      </c>
      <c r="M8" s="235" t="s">
        <v>34</v>
      </c>
      <c r="N8" s="235"/>
    </row>
    <row r="9" spans="1:14">
      <c r="A9" s="233" t="s">
        <v>642</v>
      </c>
      <c r="B9" s="164">
        <v>3008</v>
      </c>
      <c r="C9" s="45">
        <v>44060</v>
      </c>
      <c r="D9" s="166">
        <v>38224.8</v>
      </c>
      <c r="E9" s="171">
        <v>0</v>
      </c>
      <c r="F9" s="234">
        <f t="shared" ref="F9:F12" si="0">E9-D9</f>
        <v>-38224.8</v>
      </c>
      <c r="G9" s="45">
        <v>100000</v>
      </c>
      <c r="H9" s="45">
        <v>300000</v>
      </c>
      <c r="I9" s="45">
        <v>30000</v>
      </c>
      <c r="J9" s="45">
        <v>916</v>
      </c>
      <c r="K9" s="45">
        <v>2920</v>
      </c>
      <c r="L9" s="45">
        <v>501</v>
      </c>
      <c r="M9" s="236" t="s">
        <v>30</v>
      </c>
      <c r="N9" s="236"/>
    </row>
    <row r="10" spans="1:14">
      <c r="A10" s="233" t="s">
        <v>643</v>
      </c>
      <c r="B10" s="164">
        <v>2487</v>
      </c>
      <c r="C10" s="45">
        <v>0</v>
      </c>
      <c r="D10" s="166">
        <v>13139.96</v>
      </c>
      <c r="E10" s="171">
        <v>0</v>
      </c>
      <c r="F10" s="234">
        <f t="shared" si="0"/>
        <v>-13139.96</v>
      </c>
      <c r="G10" s="45">
        <v>0</v>
      </c>
      <c r="H10" s="45">
        <v>30000</v>
      </c>
      <c r="I10" s="45">
        <v>30000</v>
      </c>
      <c r="J10" s="45">
        <v>226</v>
      </c>
      <c r="K10" s="45">
        <v>219</v>
      </c>
      <c r="L10" s="45">
        <v>411</v>
      </c>
      <c r="M10" s="235" t="s">
        <v>34</v>
      </c>
      <c r="N10" s="235"/>
    </row>
    <row r="11" spans="1:14">
      <c r="A11" s="233" t="s">
        <v>644</v>
      </c>
      <c r="B11" s="164">
        <v>4684</v>
      </c>
      <c r="C11" s="45">
        <v>8044</v>
      </c>
      <c r="D11" s="166">
        <v>12834.2</v>
      </c>
      <c r="E11" s="171">
        <v>0</v>
      </c>
      <c r="F11" s="234">
        <f t="shared" si="0"/>
        <v>-12834.2</v>
      </c>
      <c r="G11" s="45">
        <v>0</v>
      </c>
      <c r="H11" s="45">
        <v>20000</v>
      </c>
      <c r="I11" s="45">
        <v>0</v>
      </c>
      <c r="J11" s="45">
        <v>50</v>
      </c>
      <c r="K11" s="45">
        <v>80</v>
      </c>
      <c r="L11" s="45">
        <v>99</v>
      </c>
      <c r="M11" s="236" t="s">
        <v>30</v>
      </c>
      <c r="N11" s="236"/>
    </row>
    <row r="12" spans="1:14">
      <c r="A12" s="233" t="s">
        <v>645</v>
      </c>
      <c r="B12" s="164">
        <v>4163</v>
      </c>
      <c r="C12" s="45">
        <v>0</v>
      </c>
      <c r="D12" s="166">
        <v>9967.94</v>
      </c>
      <c r="E12" s="171">
        <v>0</v>
      </c>
      <c r="F12" s="234">
        <f t="shared" si="0"/>
        <v>-9967.94</v>
      </c>
      <c r="G12" s="45">
        <v>0</v>
      </c>
      <c r="H12" s="45">
        <v>40000</v>
      </c>
      <c r="I12" s="45">
        <v>50000</v>
      </c>
      <c r="J12" s="45">
        <v>214</v>
      </c>
      <c r="K12" s="45">
        <v>341</v>
      </c>
      <c r="L12" s="45">
        <v>719</v>
      </c>
      <c r="M12" s="235" t="s">
        <v>34</v>
      </c>
      <c r="N12" s="235"/>
    </row>
    <row r="13" spans="1:14">
      <c r="A13" s="176"/>
    </row>
    <row r="14" spans="1:14">
      <c r="A14" s="176"/>
    </row>
    <row r="15" spans="1:14">
      <c r="A15" s="106" t="s">
        <v>41</v>
      </c>
      <c r="B15" s="106"/>
      <c r="C15" s="106"/>
      <c r="D15" s="106"/>
      <c r="E15" s="106"/>
      <c r="F15" s="106"/>
      <c r="G15" s="106"/>
      <c r="H15" s="106"/>
      <c r="I15" s="106"/>
      <c r="J15" s="106"/>
      <c r="K15" s="106"/>
      <c r="L15" s="106"/>
      <c r="M15" s="106"/>
      <c r="N15" s="106"/>
    </row>
    <row r="17" spans="1:15">
      <c r="C17" s="197" t="s">
        <v>18</v>
      </c>
      <c r="D17" s="197"/>
      <c r="E17" s="197"/>
      <c r="F17" s="197"/>
      <c r="G17" s="197" t="s">
        <v>19</v>
      </c>
      <c r="H17" s="197"/>
      <c r="I17" s="197"/>
      <c r="J17" s="197" t="s">
        <v>20</v>
      </c>
      <c r="K17" s="197"/>
      <c r="L17" s="197"/>
    </row>
    <row r="18" s="232" customFormat="1" spans="1:15">
      <c r="A18" s="112" t="s">
        <v>21</v>
      </c>
      <c r="B18" s="115" t="s">
        <v>22</v>
      </c>
      <c r="C18" s="237">
        <v>43851</v>
      </c>
      <c r="D18" s="112" t="s">
        <v>23</v>
      </c>
      <c r="E18" s="112" t="s">
        <v>24</v>
      </c>
      <c r="F18" s="112" t="s">
        <v>25</v>
      </c>
      <c r="G18" s="237">
        <v>43851</v>
      </c>
      <c r="H18" s="112" t="s">
        <v>26</v>
      </c>
      <c r="I18" s="112" t="s">
        <v>27</v>
      </c>
      <c r="J18" s="237">
        <v>43851</v>
      </c>
      <c r="K18" s="112" t="s">
        <v>26</v>
      </c>
      <c r="L18" s="112" t="s">
        <v>27</v>
      </c>
      <c r="M18" s="112" t="s">
        <v>28</v>
      </c>
      <c r="N18" s="112"/>
      <c r="O18" s="238" t="s">
        <v>95</v>
      </c>
    </row>
    <row r="19" s="97" customFormat="1" spans="1:15">
      <c r="A19" s="188" t="s">
        <v>646</v>
      </c>
      <c r="B19" s="155">
        <v>4774</v>
      </c>
      <c r="C19" s="122">
        <v>17603</v>
      </c>
      <c r="D19" s="122">
        <v>4432.44</v>
      </c>
      <c r="E19" s="122">
        <v>7394.48</v>
      </c>
      <c r="F19" s="131">
        <f>E19-D19</f>
        <v>2962.04</v>
      </c>
      <c r="G19" s="20">
        <v>25000</v>
      </c>
      <c r="H19" s="120">
        <v>35000</v>
      </c>
      <c r="I19" s="120">
        <v>20000</v>
      </c>
      <c r="J19" s="120">
        <v>139</v>
      </c>
      <c r="K19" s="122">
        <v>416</v>
      </c>
      <c r="L19" s="122">
        <v>264</v>
      </c>
      <c r="M19" s="239" t="s">
        <v>50</v>
      </c>
      <c r="N19" s="239"/>
    </row>
    <row r="20" s="97" customFormat="1" ht="15" customHeight="1" spans="1:15">
      <c r="A20" s="188" t="s">
        <v>647</v>
      </c>
      <c r="B20" s="155">
        <v>4169</v>
      </c>
      <c r="C20" s="122">
        <v>5850</v>
      </c>
      <c r="D20" s="122">
        <v>5850</v>
      </c>
      <c r="E20" s="122">
        <v>5850</v>
      </c>
      <c r="F20" s="121">
        <f t="shared" ref="F20" si="1">E20-D20</f>
        <v>0</v>
      </c>
      <c r="G20" s="20">
        <v>0</v>
      </c>
      <c r="H20" s="120">
        <v>0</v>
      </c>
      <c r="I20" s="120">
        <v>0</v>
      </c>
      <c r="J20" s="120">
        <v>0</v>
      </c>
      <c r="K20" s="240">
        <v>0</v>
      </c>
      <c r="L20" s="240" t="s">
        <v>88</v>
      </c>
      <c r="M20" s="187" t="s">
        <v>68</v>
      </c>
      <c r="N20" s="187"/>
    </row>
    <row r="21" ht="15" customHeight="1" spans="1:15">
      <c r="A21" s="233" t="s">
        <v>648</v>
      </c>
      <c r="B21" s="164">
        <v>4783</v>
      </c>
      <c r="C21" s="241">
        <v>14201</v>
      </c>
      <c r="D21" s="122">
        <v>15079.62</v>
      </c>
      <c r="E21" s="122">
        <v>17926.58</v>
      </c>
      <c r="F21" s="131">
        <f t="shared" ref="F21:F22" si="2">E21-D21</f>
        <v>2846.96</v>
      </c>
      <c r="G21" s="20">
        <v>0</v>
      </c>
      <c r="H21" s="45">
        <v>0</v>
      </c>
      <c r="I21" s="45">
        <v>0</v>
      </c>
      <c r="J21" s="45">
        <v>21</v>
      </c>
      <c r="K21" s="241">
        <v>43</v>
      </c>
      <c r="L21" s="241">
        <v>94</v>
      </c>
      <c r="M21" s="239" t="s">
        <v>50</v>
      </c>
      <c r="N21" s="239"/>
      <c r="O21" s="163">
        <v>0</v>
      </c>
    </row>
    <row r="22" ht="15" customHeight="1" spans="1:15">
      <c r="A22" s="233" t="s">
        <v>649</v>
      </c>
      <c r="B22" s="164">
        <v>3479</v>
      </c>
      <c r="C22" s="241">
        <v>0</v>
      </c>
      <c r="D22" s="122">
        <v>2972.34</v>
      </c>
      <c r="E22" s="122">
        <v>8005.88</v>
      </c>
      <c r="F22" s="131">
        <f t="shared" si="2"/>
        <v>5033.54</v>
      </c>
      <c r="G22" s="20">
        <v>0</v>
      </c>
      <c r="H22" s="45">
        <v>0</v>
      </c>
      <c r="I22" s="45">
        <v>0</v>
      </c>
      <c r="J22" s="45">
        <v>126</v>
      </c>
      <c r="K22" s="241">
        <v>51</v>
      </c>
      <c r="L22" s="241">
        <v>84</v>
      </c>
      <c r="M22" s="239" t="s">
        <v>50</v>
      </c>
      <c r="N22" s="239"/>
      <c r="O22" s="163">
        <v>0</v>
      </c>
    </row>
    <row r="23" spans="1:15">
      <c r="A23" s="233" t="s">
        <v>429</v>
      </c>
      <c r="B23" s="164">
        <v>4574</v>
      </c>
      <c r="C23" s="45">
        <v>7980</v>
      </c>
      <c r="D23" s="122">
        <v>7980</v>
      </c>
      <c r="E23" s="45">
        <v>9814.98</v>
      </c>
      <c r="F23" s="242">
        <f t="shared" ref="F23:F24" si="3">E23-D23</f>
        <v>1834.98</v>
      </c>
      <c r="G23" s="243">
        <v>0</v>
      </c>
      <c r="H23" s="45">
        <v>0</v>
      </c>
      <c r="I23" s="45">
        <v>50000</v>
      </c>
      <c r="J23" s="45" t="s">
        <v>88</v>
      </c>
      <c r="K23" s="45" t="s">
        <v>88</v>
      </c>
      <c r="L23" s="45">
        <v>514</v>
      </c>
      <c r="M23" s="239" t="s">
        <v>50</v>
      </c>
      <c r="N23" s="239"/>
    </row>
    <row r="24" spans="1:15">
      <c r="A24" s="233" t="s">
        <v>650</v>
      </c>
      <c r="B24" s="164">
        <v>2304</v>
      </c>
      <c r="C24" s="45">
        <v>14954</v>
      </c>
      <c r="D24" s="122">
        <v>1900.66</v>
      </c>
      <c r="E24" s="45">
        <v>3148.34</v>
      </c>
      <c r="F24" s="242">
        <f t="shared" si="3"/>
        <v>1247.68</v>
      </c>
      <c r="G24" s="243">
        <v>17000</v>
      </c>
      <c r="H24" s="45">
        <v>20000</v>
      </c>
      <c r="I24" s="45">
        <v>25000</v>
      </c>
      <c r="J24" s="45">
        <v>52</v>
      </c>
      <c r="K24" s="45">
        <v>249</v>
      </c>
      <c r="L24" s="45">
        <v>262</v>
      </c>
      <c r="M24" s="239" t="s">
        <v>50</v>
      </c>
      <c r="N24" s="239"/>
    </row>
    <row r="25" spans="1:15">
      <c r="B25" s="244"/>
    </row>
    <row r="27" spans="1:15">
      <c r="A27" s="106" t="s">
        <v>58</v>
      </c>
      <c r="B27" s="106"/>
      <c r="C27" s="106"/>
      <c r="D27" s="106"/>
      <c r="E27" s="106"/>
      <c r="F27" s="106"/>
      <c r="G27" s="106"/>
      <c r="H27" s="106"/>
      <c r="I27" s="106"/>
      <c r="J27" s="106"/>
      <c r="K27" s="106"/>
      <c r="L27" s="106"/>
      <c r="M27" s="106"/>
      <c r="N27" s="106"/>
    </row>
    <row r="29" spans="1:15">
      <c r="C29" s="107" t="s">
        <v>18</v>
      </c>
      <c r="D29" s="107"/>
      <c r="E29" s="107"/>
      <c r="F29" s="108"/>
      <c r="G29" s="109" t="s">
        <v>19</v>
      </c>
      <c r="H29" s="110"/>
      <c r="I29" s="111"/>
      <c r="J29" s="109" t="s">
        <v>20</v>
      </c>
      <c r="K29" s="110"/>
      <c r="L29" s="111"/>
    </row>
    <row r="30" spans="1:15">
      <c r="A30" s="112" t="s">
        <v>21</v>
      </c>
      <c r="B30" s="112" t="s">
        <v>22</v>
      </c>
      <c r="C30" s="237">
        <v>43851</v>
      </c>
      <c r="D30" s="112" t="s">
        <v>23</v>
      </c>
      <c r="E30" s="112" t="s">
        <v>24</v>
      </c>
      <c r="F30" s="112" t="s">
        <v>25</v>
      </c>
      <c r="G30" s="237">
        <v>43851</v>
      </c>
      <c r="H30" s="112" t="s">
        <v>26</v>
      </c>
      <c r="I30" s="112" t="s">
        <v>27</v>
      </c>
      <c r="J30" s="237">
        <v>43851</v>
      </c>
      <c r="K30" s="112" t="s">
        <v>26</v>
      </c>
      <c r="L30" s="112" t="s">
        <v>27</v>
      </c>
      <c r="M30" s="112" t="s">
        <v>28</v>
      </c>
      <c r="N30" s="112"/>
      <c r="O30" s="245" t="s">
        <v>95</v>
      </c>
    </row>
    <row r="31" s="97" customFormat="1" spans="1:15">
      <c r="A31" s="188" t="s">
        <v>651</v>
      </c>
      <c r="B31" s="155">
        <v>4646</v>
      </c>
      <c r="C31" s="122">
        <v>150684.93</v>
      </c>
      <c r="D31" s="157">
        <v>158258.71</v>
      </c>
      <c r="E31" s="157">
        <v>173978.58</v>
      </c>
      <c r="F31" s="246">
        <f>E31-D31</f>
        <v>15719.87</v>
      </c>
      <c r="G31" s="247">
        <v>0</v>
      </c>
      <c r="H31" s="247">
        <v>0</v>
      </c>
      <c r="I31" s="247">
        <v>0</v>
      </c>
      <c r="J31" s="20">
        <v>81</v>
      </c>
      <c r="K31" s="186">
        <v>67</v>
      </c>
      <c r="L31" s="186">
        <v>145</v>
      </c>
      <c r="M31" s="239" t="s">
        <v>50</v>
      </c>
      <c r="N31" s="239"/>
      <c r="O31" s="248">
        <v>61261.45</v>
      </c>
    </row>
    <row r="32" s="97" customFormat="1" spans="1:15">
      <c r="A32" s="188" t="s">
        <v>652</v>
      </c>
      <c r="B32" s="155">
        <v>4673</v>
      </c>
      <c r="C32" s="122">
        <v>144248.66</v>
      </c>
      <c r="D32" s="157">
        <v>144248.66</v>
      </c>
      <c r="E32" s="157">
        <v>141420.66</v>
      </c>
      <c r="F32" s="249">
        <f t="shared" ref="F32:F33" si="4">E32-D32</f>
        <v>-2828</v>
      </c>
      <c r="G32" s="247">
        <v>0</v>
      </c>
      <c r="H32" s="247">
        <v>0</v>
      </c>
      <c r="I32" s="247">
        <v>0</v>
      </c>
      <c r="J32" s="247">
        <v>0</v>
      </c>
      <c r="K32" s="247">
        <v>0</v>
      </c>
      <c r="L32" s="247">
        <v>0</v>
      </c>
      <c r="M32" s="187" t="s">
        <v>653</v>
      </c>
      <c r="N32" s="187"/>
      <c r="O32" s="248">
        <v>153053.12</v>
      </c>
    </row>
    <row r="33" s="97" customFormat="1" spans="1:15">
      <c r="A33" s="188" t="s">
        <v>654</v>
      </c>
      <c r="B33" s="155">
        <v>4699</v>
      </c>
      <c r="C33" s="122">
        <v>12695.96</v>
      </c>
      <c r="D33" s="157">
        <v>12905.96</v>
      </c>
      <c r="E33" s="157">
        <v>17749.75</v>
      </c>
      <c r="F33" s="246">
        <f t="shared" si="4"/>
        <v>4843.79</v>
      </c>
      <c r="G33" s="247">
        <v>0</v>
      </c>
      <c r="H33" s="247">
        <v>0</v>
      </c>
      <c r="I33" s="247">
        <v>0</v>
      </c>
      <c r="J33" s="20">
        <v>50</v>
      </c>
      <c r="K33" s="186">
        <v>50</v>
      </c>
      <c r="L33" s="186">
        <v>47</v>
      </c>
      <c r="M33" s="239" t="s">
        <v>50</v>
      </c>
      <c r="N33" s="239"/>
      <c r="O33" s="248">
        <v>2058.54</v>
      </c>
    </row>
    <row r="34" spans="1:15">
      <c r="A34" s="176"/>
      <c r="M34" s="250"/>
      <c r="N34" s="29"/>
    </row>
    <row r="35" spans="1:15">
      <c r="A35" s="106" t="s">
        <v>70</v>
      </c>
      <c r="B35" s="106"/>
      <c r="C35" s="106"/>
      <c r="D35" s="106"/>
      <c r="E35" s="106"/>
      <c r="F35" s="106"/>
      <c r="G35" s="106"/>
      <c r="H35" s="106"/>
      <c r="I35" s="106"/>
      <c r="J35" s="106"/>
      <c r="K35" s="106"/>
      <c r="L35" s="106"/>
      <c r="M35" s="106"/>
      <c r="N35" s="106"/>
    </row>
    <row r="36" spans="1:15">
      <c r="M36"/>
    </row>
    <row r="37" spans="1:15">
      <c r="C37" s="197" t="s">
        <v>18</v>
      </c>
      <c r="D37" s="197"/>
      <c r="E37" s="197"/>
      <c r="F37" s="197"/>
      <c r="G37" s="251"/>
      <c r="M37"/>
    </row>
    <row r="38" spans="1:15">
      <c r="A38" s="112" t="s">
        <v>21</v>
      </c>
      <c r="B38" s="112" t="s">
        <v>22</v>
      </c>
      <c r="C38" s="237">
        <v>43851</v>
      </c>
      <c r="D38" s="112" t="s">
        <v>23</v>
      </c>
      <c r="E38" s="112" t="s">
        <v>24</v>
      </c>
      <c r="F38" s="150" t="s">
        <v>25</v>
      </c>
      <c r="G38" s="115" t="s">
        <v>28</v>
      </c>
      <c r="H38" s="252"/>
      <c r="I38" s="252"/>
      <c r="J38" s="252"/>
      <c r="K38" s="252"/>
      <c r="L38" s="252"/>
      <c r="M38" s="252"/>
      <c r="N38" s="253"/>
      <c r="O38" s="127" t="s">
        <v>95</v>
      </c>
    </row>
    <row r="39" spans="1:15">
      <c r="A39" s="233" t="s">
        <v>655</v>
      </c>
      <c r="B39" s="155">
        <v>3792</v>
      </c>
      <c r="C39" s="122">
        <v>135248</v>
      </c>
      <c r="D39" s="254">
        <v>135247.51</v>
      </c>
      <c r="E39" s="254">
        <v>135247.51</v>
      </c>
      <c r="F39" s="255">
        <f>E39-D39</f>
        <v>0</v>
      </c>
      <c r="G39" s="256" t="s">
        <v>656</v>
      </c>
      <c r="H39" s="257"/>
      <c r="I39" s="257"/>
      <c r="J39" s="257"/>
      <c r="K39" s="257"/>
      <c r="L39" s="257"/>
      <c r="M39" s="257"/>
      <c r="N39" s="258"/>
      <c r="O39" s="259">
        <v>135247.51</v>
      </c>
    </row>
    <row r="40" s="97" customFormat="1" spans="1:15">
      <c r="A40" s="188" t="s">
        <v>657</v>
      </c>
      <c r="B40" s="155">
        <v>4606</v>
      </c>
      <c r="C40" s="122">
        <v>95032</v>
      </c>
      <c r="D40" s="254">
        <v>95031.92</v>
      </c>
      <c r="E40" s="254">
        <v>95096.18</v>
      </c>
      <c r="F40" s="260">
        <f t="shared" ref="F40:F42" si="5">E40-D40</f>
        <v>64.2599999999948</v>
      </c>
      <c r="G40" s="123" t="s">
        <v>658</v>
      </c>
      <c r="H40" s="198"/>
      <c r="I40" s="198"/>
      <c r="J40" s="198"/>
      <c r="K40" s="198"/>
      <c r="L40" s="198"/>
      <c r="M40" s="198"/>
      <c r="N40" s="124"/>
      <c r="O40" s="184">
        <v>97860.18</v>
      </c>
    </row>
    <row r="41" spans="1:15">
      <c r="A41" s="233" t="s">
        <v>659</v>
      </c>
      <c r="B41" s="155">
        <v>4143</v>
      </c>
      <c r="C41" s="122">
        <v>36144.16</v>
      </c>
      <c r="D41" s="254">
        <v>36187.56</v>
      </c>
      <c r="E41" s="254">
        <v>37123.43</v>
      </c>
      <c r="F41" s="260">
        <f t="shared" si="5"/>
        <v>935.870000000003</v>
      </c>
      <c r="G41" s="256" t="s">
        <v>660</v>
      </c>
      <c r="H41" s="257"/>
      <c r="I41" s="257"/>
      <c r="J41" s="257"/>
      <c r="K41" s="257"/>
      <c r="L41" s="257"/>
      <c r="M41" s="257"/>
      <c r="N41" s="258"/>
      <c r="O41" s="259">
        <v>38017.66</v>
      </c>
    </row>
    <row r="42" spans="1:15">
      <c r="A42" s="233" t="s">
        <v>661</v>
      </c>
      <c r="B42" s="155">
        <v>4135</v>
      </c>
      <c r="C42" s="122">
        <v>8367</v>
      </c>
      <c r="D42" s="254">
        <v>8367</v>
      </c>
      <c r="E42" s="254">
        <v>8367</v>
      </c>
      <c r="F42" s="260">
        <f t="shared" si="5"/>
        <v>0</v>
      </c>
      <c r="G42" s="256" t="s">
        <v>662</v>
      </c>
      <c r="H42" s="257"/>
      <c r="I42" s="257"/>
      <c r="J42" s="257"/>
      <c r="K42" s="257"/>
      <c r="L42" s="257"/>
      <c r="M42" s="257"/>
      <c r="N42" s="258"/>
      <c r="O42" s="259">
        <v>13367</v>
      </c>
    </row>
    <row r="43" spans="1:15">
      <c r="A43" s="176"/>
      <c r="M43" s="261"/>
    </row>
    <row r="45" hidden="1"/>
    <row r="46" ht="19.5" hidden="1" customHeight="1" spans="1:15">
      <c r="A46" s="112" t="s">
        <v>21</v>
      </c>
      <c r="B46" s="112" t="s">
        <v>22</v>
      </c>
      <c r="C46" s="112"/>
      <c r="D46" s="112"/>
      <c r="E46" s="112"/>
      <c r="F46" s="112"/>
      <c r="G46" s="112"/>
      <c r="H46" s="112"/>
      <c r="I46" s="112"/>
      <c r="J46" s="112"/>
      <c r="K46" s="150">
        <v>43738</v>
      </c>
      <c r="L46" s="112" t="s">
        <v>80</v>
      </c>
      <c r="M46" s="112" t="s">
        <v>663</v>
      </c>
      <c r="N46" s="112" t="s">
        <v>664</v>
      </c>
    </row>
    <row r="47" hidden="1" spans="1:15">
      <c r="A47" s="163" t="s">
        <v>651</v>
      </c>
      <c r="B47" s="164">
        <v>4646</v>
      </c>
      <c r="C47" s="164"/>
      <c r="D47" s="164"/>
      <c r="E47" s="164"/>
      <c r="F47" s="164"/>
      <c r="G47" s="164"/>
      <c r="H47" s="164"/>
      <c r="I47" s="164"/>
      <c r="J47" s="164"/>
      <c r="K47" s="171">
        <v>199099.73</v>
      </c>
      <c r="L47" s="171">
        <v>199099.73</v>
      </c>
      <c r="M47" s="201">
        <v>200000</v>
      </c>
      <c r="N47" s="163">
        <v>920</v>
      </c>
    </row>
    <row r="48" hidden="1" spans="1:15">
      <c r="A48" s="163" t="s">
        <v>652</v>
      </c>
      <c r="B48" s="164">
        <v>4673</v>
      </c>
      <c r="C48" s="164"/>
      <c r="D48" s="164"/>
      <c r="E48" s="164"/>
      <c r="F48" s="164"/>
      <c r="G48" s="164"/>
      <c r="H48" s="164"/>
      <c r="I48" s="164"/>
      <c r="J48" s="164"/>
      <c r="K48" s="171">
        <v>145114.66</v>
      </c>
      <c r="L48" s="171">
        <v>145114.66</v>
      </c>
      <c r="M48" s="201">
        <v>200000</v>
      </c>
      <c r="N48" s="163">
        <v>2724</v>
      </c>
    </row>
    <row r="49" hidden="1" spans="1:14">
      <c r="A49" s="163" t="s">
        <v>665</v>
      </c>
      <c r="B49" s="164">
        <v>4182</v>
      </c>
      <c r="C49" s="164"/>
      <c r="D49" s="164"/>
      <c r="E49" s="164"/>
      <c r="F49" s="164"/>
      <c r="G49" s="164"/>
      <c r="H49" s="164"/>
      <c r="I49" s="164"/>
      <c r="J49" s="164"/>
      <c r="K49" s="171">
        <v>132069.4</v>
      </c>
      <c r="L49" s="171">
        <v>132069.4</v>
      </c>
      <c r="M49" s="201">
        <v>750000</v>
      </c>
      <c r="N49" s="163">
        <v>10375</v>
      </c>
    </row>
    <row r="50" hidden="1" spans="1:14">
      <c r="A50" s="163" t="s">
        <v>666</v>
      </c>
      <c r="B50" s="164">
        <v>3008</v>
      </c>
      <c r="C50" s="164"/>
      <c r="D50" s="164"/>
      <c r="E50" s="164"/>
      <c r="F50" s="164"/>
      <c r="G50" s="164"/>
      <c r="H50" s="164"/>
      <c r="I50" s="164"/>
      <c r="J50" s="164"/>
      <c r="K50" s="171">
        <v>81593.4</v>
      </c>
      <c r="L50" s="171">
        <v>81593.4</v>
      </c>
      <c r="M50" s="201">
        <v>90000</v>
      </c>
      <c r="N50" s="163">
        <v>985</v>
      </c>
    </row>
    <row r="51" hidden="1" spans="1:14">
      <c r="A51" s="163" t="s">
        <v>667</v>
      </c>
      <c r="B51" s="164">
        <v>2668</v>
      </c>
      <c r="C51" s="164"/>
      <c r="D51" s="164"/>
      <c r="E51" s="164"/>
      <c r="F51" s="164"/>
      <c r="G51" s="164"/>
      <c r="H51" s="164"/>
      <c r="I51" s="164"/>
      <c r="J51" s="164"/>
      <c r="K51" s="171">
        <v>73464.85</v>
      </c>
      <c r="L51" s="171">
        <v>73464.85</v>
      </c>
      <c r="M51" s="201">
        <v>650000</v>
      </c>
      <c r="N51" s="163">
        <v>7438</v>
      </c>
    </row>
    <row r="52" hidden="1" spans="1:14">
      <c r="A52" s="163" t="s">
        <v>668</v>
      </c>
      <c r="B52" s="164">
        <v>4602</v>
      </c>
      <c r="C52" s="164"/>
      <c r="D52" s="164"/>
      <c r="E52" s="164"/>
      <c r="F52" s="164"/>
      <c r="G52" s="164"/>
      <c r="H52" s="164"/>
      <c r="I52" s="164"/>
      <c r="J52" s="164"/>
      <c r="K52" s="171">
        <v>51472.92</v>
      </c>
      <c r="L52" s="171">
        <v>51472.92</v>
      </c>
      <c r="M52" s="201">
        <v>190000</v>
      </c>
      <c r="N52" s="163">
        <v>2592</v>
      </c>
    </row>
    <row r="53" hidden="1" spans="1:14">
      <c r="A53" s="163" t="s">
        <v>669</v>
      </c>
      <c r="B53" s="164">
        <v>267</v>
      </c>
      <c r="C53" s="164"/>
      <c r="D53" s="164"/>
      <c r="E53" s="164"/>
      <c r="F53" s="164"/>
      <c r="G53" s="164"/>
      <c r="H53" s="164"/>
      <c r="I53" s="164"/>
      <c r="J53" s="164"/>
      <c r="K53" s="171">
        <v>46674.72</v>
      </c>
      <c r="L53" s="171">
        <v>46674.72</v>
      </c>
      <c r="M53" s="201">
        <v>500000</v>
      </c>
      <c r="N53" s="163">
        <v>11186</v>
      </c>
    </row>
    <row r="54" hidden="1" spans="1:14">
      <c r="A54" s="163" t="s">
        <v>654</v>
      </c>
      <c r="B54" s="164">
        <v>4699</v>
      </c>
      <c r="C54" s="164"/>
      <c r="D54" s="164"/>
      <c r="E54" s="164"/>
      <c r="F54" s="164"/>
      <c r="G54" s="164"/>
      <c r="H54" s="164"/>
      <c r="I54" s="164"/>
      <c r="J54" s="164"/>
      <c r="K54" s="171">
        <v>43163.96</v>
      </c>
      <c r="L54" s="171">
        <v>43163.96</v>
      </c>
      <c r="M54" s="201">
        <v>150000</v>
      </c>
      <c r="N54" s="163">
        <v>1579</v>
      </c>
    </row>
    <row r="55" hidden="1" spans="1:14">
      <c r="K55" s="179">
        <f>SUM(K47:K54)</f>
        <v>772653.64</v>
      </c>
      <c r="L55" s="179">
        <f>SUM(L47:L54)</f>
        <v>772653.64</v>
      </c>
      <c r="M55" s="163"/>
      <c r="N55" s="163"/>
    </row>
  </sheetData>
  <mergeCells count="36">
    <mergeCell ref="A4:N4"/>
    <mergeCell ref="C6:F6"/>
    <mergeCell ref="G6:I6"/>
    <mergeCell ref="J6:L6"/>
    <mergeCell ref="M7:N7"/>
    <mergeCell ref="M8:N8"/>
    <mergeCell ref="M9:N9"/>
    <mergeCell ref="M10:N10"/>
    <mergeCell ref="M11:N11"/>
    <mergeCell ref="M12:N12"/>
    <mergeCell ref="A15:N15"/>
    <mergeCell ref="C17:F17"/>
    <mergeCell ref="G17:I17"/>
    <mergeCell ref="J17:L17"/>
    <mergeCell ref="M18:N18"/>
    <mergeCell ref="M19:N19"/>
    <mergeCell ref="M20:N20"/>
    <mergeCell ref="M21:N21"/>
    <mergeCell ref="M22:N22"/>
    <mergeCell ref="M23:N23"/>
    <mergeCell ref="M24:N24"/>
    <mergeCell ref="A27:N27"/>
    <mergeCell ref="C29:F29"/>
    <mergeCell ref="G29:I29"/>
    <mergeCell ref="J29:L29"/>
    <mergeCell ref="M30:N30"/>
    <mergeCell ref="M31:N31"/>
    <mergeCell ref="M32:N32"/>
    <mergeCell ref="M33:N33"/>
    <mergeCell ref="A35:N35"/>
    <mergeCell ref="C37:F37"/>
    <mergeCell ref="G38:N38"/>
    <mergeCell ref="G39:N39"/>
    <mergeCell ref="G40:N40"/>
    <mergeCell ref="G41:N41"/>
    <mergeCell ref="G42:N42"/>
  </mergeCells>
  <pageMargins left="0.7" right="0.7" top="0.75" bottom="0.75" header="0.3" footer="0.3"/>
  <pageSetup paperSize="1" scale="43" orientation="portrait"/>
  <headerFooter>
    <oddFooter>&amp;L&amp;1#&amp;"Calibri"&amp;10&amp;K000000John Keells Group - Confidential</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799432355723746"/>
  </sheetPr>
  <dimension ref="A1:P163"/>
  <sheetViews>
    <sheetView workbookViewId="0">
      <selection activeCell="A1" sqref="A1"/>
    </sheetView>
  </sheetViews>
  <sheetFormatPr defaultColWidth="9.12037037037037" defaultRowHeight="14.4"/>
  <cols>
    <col min="1" max="1" width="7.12037037037037" style="2" customWidth="1"/>
    <col min="2" max="2" width="8.12037037037037" style="2" customWidth="1"/>
    <col min="3" max="3" width="20.6296296296296" style="2" customWidth="1"/>
    <col min="4" max="4" width="14.25" style="60" customWidth="1"/>
    <col min="5" max="5" width="13.1203703703704" customWidth="1"/>
    <col min="6" max="6" width="12.3703703703704" style="60" customWidth="1"/>
    <col min="7" max="7" width="11.75" style="60" customWidth="1"/>
    <col min="8" max="8" width="13.3703703703704" style="60" customWidth="1"/>
    <col min="9" max="9" width="11.25" style="60" customWidth="1"/>
    <col min="10" max="10" width="12.75" style="60" customWidth="1"/>
    <col min="11" max="11" width="12.6296296296296" style="60" customWidth="1"/>
    <col min="12" max="12" width="11.75" style="2" customWidth="1"/>
    <col min="13" max="13" width="13.75" style="2" customWidth="1"/>
    <col min="14" max="14" width="43.8796296296296" style="2" customWidth="1"/>
    <col min="15" max="15" width="45.3703703703704" style="86" customWidth="1"/>
    <col min="16" max="16" width="16.3703703703704" style="2" customWidth="1"/>
    <col min="17" max="16384" width="9.12037037037037" style="2"/>
  </cols>
  <sheetData>
    <row r="1" ht="15.15" spans="1:16">
      <c r="A1" s="27"/>
      <c r="C1" s="204" t="s">
        <v>133</v>
      </c>
      <c r="D1" s="205" t="s">
        <v>134</v>
      </c>
      <c r="E1" s="206" t="s">
        <v>135</v>
      </c>
      <c r="F1" s="206"/>
      <c r="G1" s="206"/>
      <c r="H1" s="206"/>
      <c r="I1" s="207"/>
      <c r="J1" s="61"/>
      <c r="K1" s="61"/>
    </row>
    <row r="2" spans="1:16">
      <c r="A2" s="27" t="s">
        <v>206</v>
      </c>
      <c r="C2" s="208"/>
      <c r="D2" s="209" t="s">
        <v>137</v>
      </c>
      <c r="E2" s="63" t="s">
        <v>138</v>
      </c>
      <c r="F2" s="64" t="s">
        <v>139</v>
      </c>
      <c r="G2" s="64" t="s">
        <v>140</v>
      </c>
      <c r="H2" s="64" t="s">
        <v>141</v>
      </c>
      <c r="I2" s="65" t="s">
        <v>142</v>
      </c>
      <c r="J2" s="61"/>
      <c r="K2" s="61"/>
    </row>
    <row r="3" spans="1:16">
      <c r="A3" s="27"/>
      <c r="C3" s="578" t="s">
        <v>143</v>
      </c>
      <c r="D3" s="66">
        <v>756926.62</v>
      </c>
      <c r="E3" s="67">
        <v>191317.78</v>
      </c>
      <c r="F3" s="20">
        <v>17781.88</v>
      </c>
      <c r="G3" s="20">
        <v>4193.14</v>
      </c>
      <c r="H3" s="20">
        <v>2618.29</v>
      </c>
      <c r="I3" s="21">
        <v>541015.53</v>
      </c>
      <c r="J3" s="61"/>
      <c r="K3" s="61"/>
    </row>
    <row r="4" spans="1:16">
      <c r="A4" s="27"/>
      <c r="C4" s="578" t="s">
        <v>144</v>
      </c>
      <c r="D4" s="66">
        <v>797848.5</v>
      </c>
      <c r="E4" s="67">
        <v>235575.35</v>
      </c>
      <c r="F4" s="20">
        <v>11688.47</v>
      </c>
      <c r="G4" s="20">
        <v>2660.8</v>
      </c>
      <c r="H4" s="20">
        <v>2890.37</v>
      </c>
      <c r="I4" s="21">
        <v>545033.51</v>
      </c>
      <c r="J4" s="61"/>
      <c r="K4" s="61"/>
    </row>
    <row r="5" ht="15.15" spans="1:16">
      <c r="A5" s="27"/>
      <c r="C5" s="210" t="s">
        <v>145</v>
      </c>
      <c r="D5" s="211">
        <v>-40921.88</v>
      </c>
      <c r="E5" s="212">
        <v>-44257.57</v>
      </c>
      <c r="F5" s="25">
        <v>6093.41</v>
      </c>
      <c r="G5" s="25">
        <v>1532.34</v>
      </c>
      <c r="H5" s="25">
        <v>-272.079999999999</v>
      </c>
      <c r="I5" s="26">
        <v>-4017.97999999998</v>
      </c>
      <c r="J5" s="61"/>
      <c r="K5" s="61"/>
    </row>
    <row r="6" ht="15.15" spans="1:16">
      <c r="A6" s="27"/>
      <c r="B6" s="27"/>
      <c r="C6" s="27"/>
      <c r="D6" s="69"/>
      <c r="E6" s="2"/>
      <c r="F6" s="69"/>
      <c r="G6" s="69"/>
      <c r="H6" s="69"/>
      <c r="I6" s="69"/>
      <c r="J6" s="69"/>
      <c r="K6" s="69"/>
      <c r="L6" s="27"/>
      <c r="M6" s="27"/>
      <c r="O6" s="87"/>
    </row>
    <row r="7" spans="1:16">
      <c r="A7" s="27"/>
      <c r="B7" s="27"/>
      <c r="C7" s="27"/>
      <c r="D7" s="29"/>
      <c r="E7" s="29"/>
      <c r="F7" s="30"/>
      <c r="G7" s="31" t="s">
        <v>146</v>
      </c>
      <c r="H7" s="32"/>
      <c r="I7" s="32"/>
      <c r="J7" s="32"/>
      <c r="K7" s="33"/>
      <c r="L7" s="34"/>
      <c r="M7" s="34"/>
      <c r="N7" s="35"/>
    </row>
    <row r="8" ht="16.5" customHeight="1" spans="1:16">
      <c r="A8" s="36" t="s">
        <v>147</v>
      </c>
      <c r="B8" s="36" t="s">
        <v>148</v>
      </c>
      <c r="C8" s="36" t="s">
        <v>149</v>
      </c>
      <c r="D8" s="37" t="s">
        <v>150</v>
      </c>
      <c r="E8" s="37" t="s">
        <v>151</v>
      </c>
      <c r="F8" s="37" t="s">
        <v>152</v>
      </c>
      <c r="G8" s="37" t="s">
        <v>153</v>
      </c>
      <c r="H8" s="37" t="s">
        <v>154</v>
      </c>
      <c r="I8" s="37" t="s">
        <v>155</v>
      </c>
      <c r="J8" s="37" t="s">
        <v>156</v>
      </c>
      <c r="K8" s="37" t="s">
        <v>157</v>
      </c>
      <c r="L8" s="36" t="s">
        <v>158</v>
      </c>
      <c r="M8" s="36" t="s">
        <v>159</v>
      </c>
      <c r="N8" s="38" t="s">
        <v>160</v>
      </c>
      <c r="O8" s="39" t="s">
        <v>161</v>
      </c>
      <c r="P8" s="39" t="s">
        <v>162</v>
      </c>
    </row>
    <row r="9" ht="33" customHeight="1" spans="1:16">
      <c r="A9" s="36"/>
      <c r="B9" s="36"/>
      <c r="C9" s="36"/>
      <c r="D9" s="37"/>
      <c r="E9" s="37"/>
      <c r="F9" s="37"/>
      <c r="G9" s="37"/>
      <c r="H9" s="37"/>
      <c r="I9" s="37"/>
      <c r="J9" s="37"/>
      <c r="K9" s="37"/>
      <c r="L9" s="36"/>
      <c r="M9" s="36"/>
      <c r="N9" s="38"/>
      <c r="O9" s="41"/>
      <c r="P9" s="41"/>
    </row>
    <row r="10" s="1" customFormat="1" spans="1:16">
      <c r="A10" s="88">
        <v>3792</v>
      </c>
      <c r="B10" s="228" t="s">
        <v>237</v>
      </c>
      <c r="C10" s="90" t="s">
        <v>443</v>
      </c>
      <c r="D10" s="91">
        <v>125247.51</v>
      </c>
      <c r="E10" s="91">
        <v>125247.51</v>
      </c>
      <c r="F10" s="91">
        <f t="shared" ref="F10:F50" si="0">D10-E10</f>
        <v>0</v>
      </c>
      <c r="G10" s="91">
        <v>0</v>
      </c>
      <c r="H10" s="91">
        <v>0</v>
      </c>
      <c r="I10" s="91">
        <v>0</v>
      </c>
      <c r="J10" s="91">
        <v>0</v>
      </c>
      <c r="K10" s="91">
        <v>125247.51</v>
      </c>
      <c r="L10" s="92"/>
      <c r="M10" s="92">
        <v>0</v>
      </c>
      <c r="N10" s="93" t="s">
        <v>670</v>
      </c>
      <c r="O10" s="229" t="s">
        <v>671</v>
      </c>
      <c r="P10" s="230">
        <v>0</v>
      </c>
    </row>
    <row r="11" s="1" customFormat="1" spans="1:16">
      <c r="A11" s="88">
        <v>4646</v>
      </c>
      <c r="B11" s="228" t="s">
        <v>448</v>
      </c>
      <c r="C11" s="90" t="s">
        <v>450</v>
      </c>
      <c r="D11" s="91">
        <v>115291.93</v>
      </c>
      <c r="E11" s="91">
        <v>115291.93</v>
      </c>
      <c r="F11" s="91">
        <f t="shared" si="0"/>
        <v>0</v>
      </c>
      <c r="G11" s="91">
        <v>0</v>
      </c>
      <c r="H11" s="91">
        <v>0</v>
      </c>
      <c r="I11" s="91">
        <v>0</v>
      </c>
      <c r="J11" s="91">
        <v>0</v>
      </c>
      <c r="K11" s="91">
        <v>115291.93</v>
      </c>
      <c r="L11" s="92"/>
      <c r="M11" s="92">
        <v>0</v>
      </c>
      <c r="N11" s="93" t="s">
        <v>670</v>
      </c>
      <c r="O11" s="229" t="s">
        <v>671</v>
      </c>
      <c r="P11" s="230">
        <v>0</v>
      </c>
    </row>
    <row r="12" s="1" customFormat="1" spans="1:16">
      <c r="A12" s="88">
        <v>4673</v>
      </c>
      <c r="B12" s="228" t="s">
        <v>237</v>
      </c>
      <c r="C12" s="90" t="s">
        <v>438</v>
      </c>
      <c r="D12" s="91">
        <v>101248.66</v>
      </c>
      <c r="E12" s="91">
        <v>106248.66</v>
      </c>
      <c r="F12" s="91">
        <f t="shared" si="0"/>
        <v>-5000</v>
      </c>
      <c r="G12" s="91">
        <v>0</v>
      </c>
      <c r="H12" s="91">
        <v>0</v>
      </c>
      <c r="I12" s="91">
        <v>0</v>
      </c>
      <c r="J12" s="91">
        <v>0</v>
      </c>
      <c r="K12" s="91">
        <v>101248.66</v>
      </c>
      <c r="L12" s="92"/>
      <c r="M12" s="92">
        <v>0</v>
      </c>
      <c r="N12" s="93" t="s">
        <v>672</v>
      </c>
      <c r="O12" s="229" t="s">
        <v>673</v>
      </c>
      <c r="P12" s="230">
        <v>0</v>
      </c>
    </row>
    <row r="13" s="1" customFormat="1" spans="1:16">
      <c r="A13" s="88">
        <v>4606</v>
      </c>
      <c r="B13" s="228" t="s">
        <v>237</v>
      </c>
      <c r="C13" s="90" t="s">
        <v>446</v>
      </c>
      <c r="D13" s="91">
        <v>95031.92</v>
      </c>
      <c r="E13" s="91">
        <v>95031.92</v>
      </c>
      <c r="F13" s="91">
        <f t="shared" si="0"/>
        <v>0</v>
      </c>
      <c r="G13" s="91">
        <v>0</v>
      </c>
      <c r="H13" s="91">
        <v>0</v>
      </c>
      <c r="I13" s="91">
        <v>0</v>
      </c>
      <c r="J13" s="91">
        <v>0</v>
      </c>
      <c r="K13" s="91">
        <v>95031.92</v>
      </c>
      <c r="L13" s="92"/>
      <c r="M13" s="92">
        <v>0</v>
      </c>
      <c r="N13" s="93" t="s">
        <v>670</v>
      </c>
      <c r="O13" s="229" t="s">
        <v>671</v>
      </c>
      <c r="P13" s="230">
        <v>0</v>
      </c>
    </row>
    <row r="14" s="1" customFormat="1" ht="43.2" spans="1:16">
      <c r="A14" s="88">
        <v>4143</v>
      </c>
      <c r="B14" s="228" t="s">
        <v>305</v>
      </c>
      <c r="C14" s="90" t="s">
        <v>420</v>
      </c>
      <c r="D14" s="91">
        <v>23528.16</v>
      </c>
      <c r="E14" s="91">
        <v>23528.16</v>
      </c>
      <c r="F14" s="91">
        <f t="shared" si="0"/>
        <v>0</v>
      </c>
      <c r="G14" s="91">
        <v>0</v>
      </c>
      <c r="H14" s="91">
        <v>0</v>
      </c>
      <c r="I14" s="91">
        <v>0</v>
      </c>
      <c r="J14" s="91">
        <v>0</v>
      </c>
      <c r="K14" s="91">
        <v>23528.16</v>
      </c>
      <c r="L14" s="92"/>
      <c r="M14" s="92">
        <v>0</v>
      </c>
      <c r="N14" s="231" t="s">
        <v>674</v>
      </c>
      <c r="O14" s="229" t="s">
        <v>675</v>
      </c>
      <c r="P14" s="230">
        <v>0</v>
      </c>
    </row>
    <row r="15" s="1" customFormat="1" spans="1:16">
      <c r="A15" s="88">
        <v>4574</v>
      </c>
      <c r="B15" s="228" t="s">
        <v>237</v>
      </c>
      <c r="C15" s="90" t="s">
        <v>429</v>
      </c>
      <c r="D15" s="91">
        <v>9536.85</v>
      </c>
      <c r="E15" s="91">
        <v>9536.85</v>
      </c>
      <c r="F15" s="91">
        <f t="shared" si="0"/>
        <v>0</v>
      </c>
      <c r="G15" s="91">
        <v>0</v>
      </c>
      <c r="H15" s="91">
        <v>0</v>
      </c>
      <c r="I15" s="91">
        <v>0</v>
      </c>
      <c r="J15" s="91">
        <v>0</v>
      </c>
      <c r="K15" s="91">
        <v>9536.85</v>
      </c>
      <c r="L15" s="92"/>
      <c r="M15" s="92">
        <v>0</v>
      </c>
      <c r="N15" s="93" t="s">
        <v>68</v>
      </c>
      <c r="O15" s="229" t="s">
        <v>68</v>
      </c>
      <c r="P15" s="230">
        <v>0</v>
      </c>
    </row>
    <row r="16" s="1" customFormat="1" spans="1:16">
      <c r="A16" s="88">
        <v>4783</v>
      </c>
      <c r="B16" s="228" t="s">
        <v>448</v>
      </c>
      <c r="C16" s="90" t="s">
        <v>676</v>
      </c>
      <c r="D16" s="91">
        <v>9277.67</v>
      </c>
      <c r="E16" s="91">
        <v>9277.67</v>
      </c>
      <c r="F16" s="91">
        <f t="shared" si="0"/>
        <v>0</v>
      </c>
      <c r="G16" s="91">
        <v>0</v>
      </c>
      <c r="H16" s="91">
        <v>0</v>
      </c>
      <c r="I16" s="91">
        <v>0</v>
      </c>
      <c r="J16" s="91">
        <v>0</v>
      </c>
      <c r="K16" s="91">
        <v>9277.67</v>
      </c>
      <c r="L16" s="92"/>
      <c r="M16" s="92">
        <v>0</v>
      </c>
      <c r="N16" s="93" t="s">
        <v>68</v>
      </c>
      <c r="O16" s="229" t="s">
        <v>68</v>
      </c>
      <c r="P16" s="230">
        <v>0</v>
      </c>
    </row>
    <row r="17" s="1" customFormat="1" spans="1:16">
      <c r="A17" s="88">
        <v>4135</v>
      </c>
      <c r="B17" s="228" t="s">
        <v>232</v>
      </c>
      <c r="C17" s="90" t="s">
        <v>417</v>
      </c>
      <c r="D17" s="91">
        <v>8367</v>
      </c>
      <c r="E17" s="91">
        <v>8367</v>
      </c>
      <c r="F17" s="91">
        <f t="shared" si="0"/>
        <v>0</v>
      </c>
      <c r="G17" s="91">
        <v>0</v>
      </c>
      <c r="H17" s="91">
        <v>0</v>
      </c>
      <c r="I17" s="91">
        <v>0</v>
      </c>
      <c r="J17" s="91">
        <v>0</v>
      </c>
      <c r="K17" s="91">
        <v>8367</v>
      </c>
      <c r="L17" s="92"/>
      <c r="M17" s="92">
        <v>0</v>
      </c>
      <c r="N17" s="93" t="s">
        <v>68</v>
      </c>
      <c r="O17" s="229" t="s">
        <v>68</v>
      </c>
      <c r="P17" s="230">
        <v>0</v>
      </c>
    </row>
    <row r="18" s="1" customFormat="1" spans="1:16">
      <c r="A18" s="88">
        <v>4667</v>
      </c>
      <c r="B18" s="228" t="s">
        <v>305</v>
      </c>
      <c r="C18" s="90" t="s">
        <v>677</v>
      </c>
      <c r="D18" s="91">
        <v>9841.79</v>
      </c>
      <c r="E18" s="91">
        <v>10292.81</v>
      </c>
      <c r="F18" s="91">
        <f t="shared" si="0"/>
        <v>-451.019999999999</v>
      </c>
      <c r="G18" s="91">
        <v>227.98</v>
      </c>
      <c r="H18" s="91">
        <v>1236.82</v>
      </c>
      <c r="I18" s="91">
        <v>1577.57</v>
      </c>
      <c r="J18" s="91">
        <v>577.64</v>
      </c>
      <c r="K18" s="91">
        <v>6221.78</v>
      </c>
      <c r="L18" s="92"/>
      <c r="M18" s="92">
        <v>7</v>
      </c>
      <c r="N18" s="93" t="s">
        <v>678</v>
      </c>
      <c r="O18" s="229" t="s">
        <v>679</v>
      </c>
      <c r="P18" s="230">
        <v>0</v>
      </c>
    </row>
    <row r="19" s="1" customFormat="1" spans="1:16">
      <c r="A19" s="88">
        <v>4169</v>
      </c>
      <c r="B19" s="228" t="s">
        <v>224</v>
      </c>
      <c r="C19" s="90" t="s">
        <v>423</v>
      </c>
      <c r="D19" s="91">
        <v>5850</v>
      </c>
      <c r="E19" s="91">
        <v>5850</v>
      </c>
      <c r="F19" s="91">
        <f t="shared" si="0"/>
        <v>0</v>
      </c>
      <c r="G19" s="91">
        <v>0</v>
      </c>
      <c r="H19" s="91">
        <v>0</v>
      </c>
      <c r="I19" s="91">
        <v>0</v>
      </c>
      <c r="J19" s="91">
        <v>0</v>
      </c>
      <c r="K19" s="91">
        <v>5850</v>
      </c>
      <c r="L19" s="92"/>
      <c r="M19" s="92">
        <v>0</v>
      </c>
      <c r="N19" s="93" t="s">
        <v>68</v>
      </c>
      <c r="O19" s="229" t="s">
        <v>68</v>
      </c>
      <c r="P19" s="230">
        <v>0</v>
      </c>
    </row>
    <row r="20" s="1" customFormat="1" spans="1:16">
      <c r="A20" s="88">
        <v>4554</v>
      </c>
      <c r="B20" s="228" t="s">
        <v>252</v>
      </c>
      <c r="C20" s="90" t="s">
        <v>426</v>
      </c>
      <c r="D20" s="91">
        <v>5580.04</v>
      </c>
      <c r="E20" s="91">
        <v>5580.04</v>
      </c>
      <c r="F20" s="91">
        <f t="shared" si="0"/>
        <v>0</v>
      </c>
      <c r="G20" s="91">
        <v>0</v>
      </c>
      <c r="H20" s="91">
        <v>0</v>
      </c>
      <c r="I20" s="91">
        <v>0</v>
      </c>
      <c r="J20" s="91">
        <v>0</v>
      </c>
      <c r="K20" s="91">
        <v>5580.04</v>
      </c>
      <c r="L20" s="92"/>
      <c r="M20" s="92">
        <v>0</v>
      </c>
      <c r="N20" s="93" t="s">
        <v>68</v>
      </c>
      <c r="O20" s="229" t="s">
        <v>68</v>
      </c>
      <c r="P20" s="230">
        <v>0</v>
      </c>
    </row>
    <row r="21" s="1" customFormat="1" spans="1:16">
      <c r="A21" s="88">
        <v>3034</v>
      </c>
      <c r="B21" s="228" t="s">
        <v>232</v>
      </c>
      <c r="C21" s="90" t="s">
        <v>414</v>
      </c>
      <c r="D21" s="91">
        <v>3935.5</v>
      </c>
      <c r="E21" s="91">
        <v>3935.5</v>
      </c>
      <c r="F21" s="91">
        <f t="shared" si="0"/>
        <v>0</v>
      </c>
      <c r="G21" s="91">
        <v>0</v>
      </c>
      <c r="H21" s="91">
        <v>0</v>
      </c>
      <c r="I21" s="91">
        <v>0</v>
      </c>
      <c r="J21" s="91">
        <v>0</v>
      </c>
      <c r="K21" s="91">
        <v>3935.5</v>
      </c>
      <c r="L21" s="92"/>
      <c r="M21" s="92">
        <v>0</v>
      </c>
      <c r="N21" s="93" t="s">
        <v>68</v>
      </c>
      <c r="O21" s="229" t="s">
        <v>68</v>
      </c>
      <c r="P21" s="230">
        <v>0</v>
      </c>
    </row>
    <row r="22" s="1" customFormat="1" spans="1:16">
      <c r="A22" s="88">
        <v>4623</v>
      </c>
      <c r="B22" s="228" t="s">
        <v>232</v>
      </c>
      <c r="C22" s="90" t="s">
        <v>435</v>
      </c>
      <c r="D22" s="91">
        <v>3360</v>
      </c>
      <c r="E22" s="91">
        <v>3360</v>
      </c>
      <c r="F22" s="91">
        <f t="shared" si="0"/>
        <v>0</v>
      </c>
      <c r="G22" s="91">
        <v>0</v>
      </c>
      <c r="H22" s="91">
        <v>0</v>
      </c>
      <c r="I22" s="91">
        <v>0</v>
      </c>
      <c r="J22" s="91">
        <v>0</v>
      </c>
      <c r="K22" s="91">
        <v>3360</v>
      </c>
      <c r="L22" s="92"/>
      <c r="M22" s="92">
        <v>0</v>
      </c>
      <c r="N22" s="93" t="s">
        <v>68</v>
      </c>
      <c r="O22" s="229" t="s">
        <v>68</v>
      </c>
      <c r="P22" s="230">
        <v>0</v>
      </c>
    </row>
    <row r="23" s="1" customFormat="1" spans="1:16">
      <c r="A23" s="88">
        <v>4637</v>
      </c>
      <c r="B23" s="228" t="s">
        <v>224</v>
      </c>
      <c r="C23" s="90" t="s">
        <v>680</v>
      </c>
      <c r="D23" s="91">
        <v>3651.17</v>
      </c>
      <c r="E23" s="91">
        <v>3579.58</v>
      </c>
      <c r="F23" s="91">
        <f t="shared" si="0"/>
        <v>71.5900000000001</v>
      </c>
      <c r="G23" s="91">
        <v>71.59</v>
      </c>
      <c r="H23" s="91">
        <v>70.19</v>
      </c>
      <c r="I23" s="91">
        <v>68.81</v>
      </c>
      <c r="J23" s="91">
        <v>252.28</v>
      </c>
      <c r="K23" s="91">
        <v>3188.3</v>
      </c>
      <c r="L23" s="92"/>
      <c r="M23" s="92">
        <v>0</v>
      </c>
      <c r="N23" s="93" t="s">
        <v>68</v>
      </c>
      <c r="O23" s="229" t="s">
        <v>68</v>
      </c>
      <c r="P23" s="230">
        <v>0</v>
      </c>
    </row>
    <row r="24" s="1" customFormat="1" spans="1:16">
      <c r="A24" s="88">
        <v>4707</v>
      </c>
      <c r="B24" s="228" t="s">
        <v>252</v>
      </c>
      <c r="C24" s="90" t="s">
        <v>440</v>
      </c>
      <c r="D24" s="91">
        <v>3051.02</v>
      </c>
      <c r="E24" s="91">
        <v>3051.02</v>
      </c>
      <c r="F24" s="91">
        <f t="shared" si="0"/>
        <v>0</v>
      </c>
      <c r="G24" s="91">
        <v>0</v>
      </c>
      <c r="H24" s="91">
        <v>0</v>
      </c>
      <c r="I24" s="91">
        <v>0</v>
      </c>
      <c r="J24" s="91">
        <v>0</v>
      </c>
      <c r="K24" s="91">
        <v>3051.02</v>
      </c>
      <c r="L24" s="92"/>
      <c r="M24" s="92">
        <v>0</v>
      </c>
      <c r="N24" s="93" t="s">
        <v>68</v>
      </c>
      <c r="O24" s="229" t="s">
        <v>68</v>
      </c>
      <c r="P24" s="230">
        <v>0</v>
      </c>
    </row>
    <row r="25" s="1" customFormat="1" spans="1:16">
      <c r="A25" s="88">
        <v>4699</v>
      </c>
      <c r="B25" s="228" t="s">
        <v>237</v>
      </c>
      <c r="C25" s="90" t="s">
        <v>681</v>
      </c>
      <c r="D25" s="91">
        <v>2688.96</v>
      </c>
      <c r="E25" s="91">
        <v>2688.96</v>
      </c>
      <c r="F25" s="91">
        <f t="shared" si="0"/>
        <v>0</v>
      </c>
      <c r="G25" s="91">
        <v>0</v>
      </c>
      <c r="H25" s="91">
        <v>0</v>
      </c>
      <c r="I25" s="91">
        <v>0</v>
      </c>
      <c r="J25" s="91">
        <v>0</v>
      </c>
      <c r="K25" s="91">
        <v>2688.96</v>
      </c>
      <c r="L25" s="92"/>
      <c r="M25" s="92">
        <v>0</v>
      </c>
      <c r="N25" s="93" t="s">
        <v>68</v>
      </c>
      <c r="O25" s="229" t="s">
        <v>68</v>
      </c>
      <c r="P25" s="230">
        <v>0</v>
      </c>
    </row>
    <row r="26" s="1" customFormat="1" spans="1:16">
      <c r="A26" s="88">
        <v>4761</v>
      </c>
      <c r="B26" s="228" t="s">
        <v>682</v>
      </c>
      <c r="C26" s="90" t="s">
        <v>683</v>
      </c>
      <c r="D26" s="91">
        <v>2687</v>
      </c>
      <c r="E26" s="91">
        <v>2687</v>
      </c>
      <c r="F26" s="91">
        <f t="shared" si="0"/>
        <v>0</v>
      </c>
      <c r="G26" s="91">
        <v>0</v>
      </c>
      <c r="H26" s="91">
        <v>0</v>
      </c>
      <c r="I26" s="91">
        <v>0</v>
      </c>
      <c r="J26" s="91">
        <v>0</v>
      </c>
      <c r="K26" s="91">
        <v>2687</v>
      </c>
      <c r="L26" s="92"/>
      <c r="M26" s="92">
        <v>0</v>
      </c>
      <c r="N26" s="93" t="s">
        <v>68</v>
      </c>
      <c r="O26" s="229" t="s">
        <v>68</v>
      </c>
      <c r="P26" s="230">
        <v>0</v>
      </c>
    </row>
    <row r="27" s="1" customFormat="1" spans="1:16">
      <c r="A27" s="88">
        <v>306</v>
      </c>
      <c r="B27" s="228" t="s">
        <v>232</v>
      </c>
      <c r="C27" s="90" t="s">
        <v>684</v>
      </c>
      <c r="D27" s="91">
        <v>2351.74</v>
      </c>
      <c r="E27" s="91">
        <v>2305.63</v>
      </c>
      <c r="F27" s="91">
        <f t="shared" si="0"/>
        <v>46.1099999999997</v>
      </c>
      <c r="G27" s="91">
        <v>46.11</v>
      </c>
      <c r="H27" s="91">
        <v>45.21</v>
      </c>
      <c r="I27" s="91">
        <v>44.32</v>
      </c>
      <c r="J27" s="91">
        <v>151.82</v>
      </c>
      <c r="K27" s="91">
        <v>2064.28</v>
      </c>
      <c r="L27" s="92"/>
      <c r="M27" s="92">
        <v>0</v>
      </c>
      <c r="N27" s="93" t="s">
        <v>68</v>
      </c>
      <c r="O27" s="229" t="s">
        <v>68</v>
      </c>
      <c r="P27" s="230">
        <v>0</v>
      </c>
    </row>
    <row r="28" s="1" customFormat="1" spans="1:16">
      <c r="A28" s="88">
        <v>4774</v>
      </c>
      <c r="B28" s="228" t="s">
        <v>232</v>
      </c>
      <c r="C28" s="90" t="s">
        <v>685</v>
      </c>
      <c r="D28" s="91">
        <v>433.95</v>
      </c>
      <c r="E28" s="91">
        <v>425.44</v>
      </c>
      <c r="F28" s="91">
        <f t="shared" si="0"/>
        <v>8.50999999999999</v>
      </c>
      <c r="G28" s="91">
        <v>8.51</v>
      </c>
      <c r="H28" s="91">
        <v>8.34</v>
      </c>
      <c r="I28" s="91">
        <v>8.18</v>
      </c>
      <c r="J28" s="91">
        <v>23.59</v>
      </c>
      <c r="K28" s="91">
        <v>385.33</v>
      </c>
      <c r="L28" s="92"/>
      <c r="M28" s="92">
        <v>0</v>
      </c>
      <c r="N28" s="93" t="s">
        <v>68</v>
      </c>
      <c r="O28" s="229" t="s">
        <v>68</v>
      </c>
      <c r="P28" s="230">
        <v>0</v>
      </c>
    </row>
    <row r="29" s="1" customFormat="1" spans="1:16">
      <c r="A29" s="88">
        <v>4570</v>
      </c>
      <c r="B29" s="228" t="s">
        <v>305</v>
      </c>
      <c r="C29" s="90" t="s">
        <v>686</v>
      </c>
      <c r="D29" s="91">
        <v>396.2</v>
      </c>
      <c r="E29" s="91">
        <v>388.43</v>
      </c>
      <c r="F29" s="91">
        <f t="shared" si="0"/>
        <v>7.76999999999998</v>
      </c>
      <c r="G29" s="91">
        <v>7.77</v>
      </c>
      <c r="H29" s="91">
        <v>7.62</v>
      </c>
      <c r="I29" s="91">
        <v>7.47</v>
      </c>
      <c r="J29" s="91">
        <v>107.93</v>
      </c>
      <c r="K29" s="91">
        <v>265.41</v>
      </c>
      <c r="L29" s="92"/>
      <c r="M29" s="92">
        <v>0</v>
      </c>
      <c r="N29" s="93" t="s">
        <v>68</v>
      </c>
      <c r="O29" s="229" t="s">
        <v>68</v>
      </c>
      <c r="P29" s="230">
        <v>0</v>
      </c>
    </row>
    <row r="30" s="1" customFormat="1" spans="1:16">
      <c r="A30" s="88">
        <v>5067</v>
      </c>
      <c r="B30" s="228" t="s">
        <v>224</v>
      </c>
      <c r="C30" s="90" t="s">
        <v>687</v>
      </c>
      <c r="D30" s="91">
        <v>88.21</v>
      </c>
      <c r="E30" s="91">
        <v>88.21</v>
      </c>
      <c r="F30" s="91">
        <f t="shared" si="0"/>
        <v>0</v>
      </c>
      <c r="G30" s="91">
        <v>0</v>
      </c>
      <c r="H30" s="91">
        <v>0</v>
      </c>
      <c r="I30" s="91">
        <v>0</v>
      </c>
      <c r="J30" s="91">
        <v>0</v>
      </c>
      <c r="K30" s="91">
        <v>88.21</v>
      </c>
      <c r="L30" s="92"/>
      <c r="M30" s="92">
        <v>0</v>
      </c>
      <c r="N30" s="93" t="s">
        <v>688</v>
      </c>
      <c r="O30" s="229" t="s">
        <v>689</v>
      </c>
      <c r="P30" s="230">
        <v>1</v>
      </c>
    </row>
    <row r="31" s="1" customFormat="1" spans="1:16">
      <c r="A31" s="88">
        <v>4703</v>
      </c>
      <c r="B31" s="228" t="s">
        <v>252</v>
      </c>
      <c r="C31" s="90" t="s">
        <v>690</v>
      </c>
      <c r="D31" s="91">
        <v>799.01</v>
      </c>
      <c r="E31" s="91">
        <v>783.34</v>
      </c>
      <c r="F31" s="91">
        <f t="shared" si="0"/>
        <v>15.67</v>
      </c>
      <c r="G31" s="91">
        <v>15.67</v>
      </c>
      <c r="H31" s="91">
        <v>15.36</v>
      </c>
      <c r="I31" s="91">
        <v>15.06</v>
      </c>
      <c r="J31" s="91">
        <v>752.92</v>
      </c>
      <c r="K31" s="91">
        <v>0</v>
      </c>
      <c r="L31" s="92"/>
      <c r="M31" s="92">
        <v>0</v>
      </c>
      <c r="N31" s="93" t="s">
        <v>68</v>
      </c>
      <c r="O31" s="229" t="s">
        <v>68</v>
      </c>
      <c r="P31" s="230">
        <v>0</v>
      </c>
    </row>
    <row r="32" s="1" customFormat="1" spans="1:16">
      <c r="A32" s="88">
        <v>1875</v>
      </c>
      <c r="B32" s="228" t="s">
        <v>252</v>
      </c>
      <c r="C32" s="90" t="s">
        <v>265</v>
      </c>
      <c r="D32" s="91">
        <v>2132.03</v>
      </c>
      <c r="E32" s="91">
        <v>3376.73</v>
      </c>
      <c r="F32" s="91">
        <f t="shared" si="0"/>
        <v>-1244.7</v>
      </c>
      <c r="G32" s="91">
        <v>48.8</v>
      </c>
      <c r="H32" s="91">
        <v>66.21</v>
      </c>
      <c r="I32" s="91">
        <v>1264.91</v>
      </c>
      <c r="J32" s="91">
        <v>752.11</v>
      </c>
      <c r="K32" s="91">
        <v>0</v>
      </c>
      <c r="L32" s="92"/>
      <c r="M32" s="92">
        <v>13</v>
      </c>
      <c r="N32" s="93" t="s">
        <v>689</v>
      </c>
      <c r="O32" s="229" t="s">
        <v>68</v>
      </c>
      <c r="P32" s="230">
        <v>15</v>
      </c>
    </row>
    <row r="33" s="1" customFormat="1" spans="1:16">
      <c r="A33" s="88">
        <v>2542</v>
      </c>
      <c r="B33" s="228" t="s">
        <v>232</v>
      </c>
      <c r="C33" s="90" t="s">
        <v>691</v>
      </c>
      <c r="D33" s="91">
        <v>468.41</v>
      </c>
      <c r="E33" s="91">
        <v>459.23</v>
      </c>
      <c r="F33" s="91">
        <f t="shared" si="0"/>
        <v>9.18000000000001</v>
      </c>
      <c r="G33" s="91">
        <v>9.18</v>
      </c>
      <c r="H33" s="91">
        <v>16</v>
      </c>
      <c r="I33" s="91">
        <v>443.23</v>
      </c>
      <c r="J33" s="91">
        <v>0</v>
      </c>
      <c r="K33" s="91">
        <v>0</v>
      </c>
      <c r="L33" s="92"/>
      <c r="M33" s="92">
        <v>0</v>
      </c>
      <c r="N33" s="93" t="s">
        <v>689</v>
      </c>
      <c r="O33" s="229" t="s">
        <v>689</v>
      </c>
      <c r="P33" s="230">
        <v>0</v>
      </c>
    </row>
    <row r="34" s="1" customFormat="1" spans="1:16">
      <c r="A34" s="88">
        <v>2480</v>
      </c>
      <c r="B34" s="228" t="s">
        <v>224</v>
      </c>
      <c r="C34" s="90" t="s">
        <v>692</v>
      </c>
      <c r="D34" s="91">
        <v>1342.88</v>
      </c>
      <c r="E34" s="91">
        <v>1499.55</v>
      </c>
      <c r="F34" s="91">
        <f t="shared" si="0"/>
        <v>-156.67</v>
      </c>
      <c r="G34" s="91">
        <v>328.33</v>
      </c>
      <c r="H34" s="91">
        <v>620.4</v>
      </c>
      <c r="I34" s="91">
        <v>394.15</v>
      </c>
      <c r="J34" s="91">
        <v>0</v>
      </c>
      <c r="K34" s="91">
        <v>0</v>
      </c>
      <c r="L34" s="92">
        <v>4</v>
      </c>
      <c r="M34" s="92">
        <v>5</v>
      </c>
      <c r="N34" s="93" t="s">
        <v>689</v>
      </c>
      <c r="O34" s="229" t="s">
        <v>689</v>
      </c>
      <c r="P34" s="230">
        <v>3</v>
      </c>
    </row>
    <row r="35" s="1" customFormat="1" spans="1:16">
      <c r="A35" s="88">
        <v>104</v>
      </c>
      <c r="B35" s="228" t="s">
        <v>252</v>
      </c>
      <c r="C35" s="90" t="s">
        <v>693</v>
      </c>
      <c r="D35" s="91">
        <v>350.2</v>
      </c>
      <c r="E35" s="91">
        <v>343.33</v>
      </c>
      <c r="F35" s="91">
        <f t="shared" si="0"/>
        <v>6.87</v>
      </c>
      <c r="G35" s="91">
        <v>6.87</v>
      </c>
      <c r="H35" s="91">
        <v>6.73</v>
      </c>
      <c r="I35" s="91">
        <v>336.6</v>
      </c>
      <c r="J35" s="91">
        <v>0</v>
      </c>
      <c r="K35" s="91">
        <v>0</v>
      </c>
      <c r="L35" s="92"/>
      <c r="M35" s="92">
        <v>0</v>
      </c>
      <c r="N35" s="93" t="s">
        <v>68</v>
      </c>
      <c r="O35" s="229" t="s">
        <v>68</v>
      </c>
      <c r="P35" s="230">
        <v>0</v>
      </c>
    </row>
    <row r="36" s="1" customFormat="1" spans="1:16">
      <c r="A36" s="88">
        <v>4551</v>
      </c>
      <c r="B36" s="228" t="s">
        <v>268</v>
      </c>
      <c r="C36" s="90" t="s">
        <v>408</v>
      </c>
      <c r="D36" s="91">
        <v>2618.69</v>
      </c>
      <c r="E36" s="91">
        <v>8083.34</v>
      </c>
      <c r="F36" s="91">
        <f t="shared" si="0"/>
        <v>-5464.65</v>
      </c>
      <c r="G36" s="91">
        <v>452.35</v>
      </c>
      <c r="H36" s="91">
        <v>2133.5</v>
      </c>
      <c r="I36" s="91">
        <v>32.84</v>
      </c>
      <c r="J36" s="91">
        <v>0</v>
      </c>
      <c r="K36" s="91">
        <v>0</v>
      </c>
      <c r="L36" s="92">
        <v>192</v>
      </c>
      <c r="M36" s="92">
        <v>61</v>
      </c>
      <c r="N36" s="93" t="s">
        <v>689</v>
      </c>
      <c r="O36" s="229" t="s">
        <v>694</v>
      </c>
      <c r="P36" s="230">
        <v>0</v>
      </c>
    </row>
    <row r="37" s="1" customFormat="1" spans="1:16">
      <c r="A37" s="88">
        <v>5029</v>
      </c>
      <c r="B37" s="228" t="s">
        <v>682</v>
      </c>
      <c r="C37" s="90" t="s">
        <v>695</v>
      </c>
      <c r="D37" s="91">
        <v>5740.29</v>
      </c>
      <c r="E37" s="91">
        <v>15796.74</v>
      </c>
      <c r="F37" s="91">
        <f t="shared" si="0"/>
        <v>-10056.45</v>
      </c>
      <c r="G37" s="91">
        <v>225.55</v>
      </c>
      <c r="H37" s="91">
        <v>5514.74</v>
      </c>
      <c r="I37" s="91">
        <v>0</v>
      </c>
      <c r="J37" s="91">
        <v>0</v>
      </c>
      <c r="K37" s="91">
        <v>0</v>
      </c>
      <c r="L37" s="92">
        <v>65</v>
      </c>
      <c r="M37" s="92">
        <v>106</v>
      </c>
      <c r="N37" s="93" t="s">
        <v>689</v>
      </c>
      <c r="O37" s="229" t="s">
        <v>689</v>
      </c>
      <c r="P37" s="230">
        <v>0</v>
      </c>
    </row>
    <row r="38" s="1" customFormat="1" spans="1:16">
      <c r="A38" s="88">
        <v>2304</v>
      </c>
      <c r="B38" s="228" t="s">
        <v>696</v>
      </c>
      <c r="C38" s="90" t="s">
        <v>650</v>
      </c>
      <c r="D38" s="91">
        <v>3161.15</v>
      </c>
      <c r="E38" s="91">
        <v>6356.17</v>
      </c>
      <c r="F38" s="91">
        <f t="shared" si="0"/>
        <v>-3195.02</v>
      </c>
      <c r="G38" s="91">
        <v>102.98</v>
      </c>
      <c r="H38" s="91">
        <v>3058.17</v>
      </c>
      <c r="I38" s="91">
        <v>0</v>
      </c>
      <c r="J38" s="91">
        <v>0</v>
      </c>
      <c r="K38" s="91">
        <v>0</v>
      </c>
      <c r="L38" s="92">
        <v>64</v>
      </c>
      <c r="M38" s="92">
        <v>34</v>
      </c>
      <c r="N38" s="93" t="s">
        <v>697</v>
      </c>
      <c r="O38" s="229" t="s">
        <v>694</v>
      </c>
      <c r="P38" s="230">
        <v>0</v>
      </c>
    </row>
    <row r="39" s="1" customFormat="1" spans="1:16">
      <c r="A39" s="88">
        <v>4757</v>
      </c>
      <c r="B39" s="228" t="s">
        <v>257</v>
      </c>
      <c r="C39" s="90" t="s">
        <v>698</v>
      </c>
      <c r="D39" s="91">
        <v>2754.37</v>
      </c>
      <c r="E39" s="91">
        <v>4274.36</v>
      </c>
      <c r="F39" s="91">
        <f t="shared" si="0"/>
        <v>-1519.99</v>
      </c>
      <c r="G39" s="91">
        <v>129.01</v>
      </c>
      <c r="H39" s="91">
        <v>2625.36</v>
      </c>
      <c r="I39" s="91">
        <v>0</v>
      </c>
      <c r="J39" s="91">
        <v>0</v>
      </c>
      <c r="K39" s="91">
        <v>0</v>
      </c>
      <c r="L39" s="92">
        <v>45</v>
      </c>
      <c r="M39" s="92">
        <v>17</v>
      </c>
      <c r="N39" s="93" t="s">
        <v>689</v>
      </c>
      <c r="O39" s="229" t="s">
        <v>689</v>
      </c>
      <c r="P39" s="230">
        <v>24</v>
      </c>
    </row>
    <row r="40" s="1" customFormat="1" spans="1:16">
      <c r="A40" s="88">
        <v>3940</v>
      </c>
      <c r="B40" s="228" t="s">
        <v>257</v>
      </c>
      <c r="C40" s="90" t="s">
        <v>699</v>
      </c>
      <c r="D40" s="91">
        <v>1315.22</v>
      </c>
      <c r="E40" s="91">
        <v>3724.43</v>
      </c>
      <c r="F40" s="91">
        <f t="shared" si="0"/>
        <v>-2409.21</v>
      </c>
      <c r="G40" s="91">
        <v>209.79</v>
      </c>
      <c r="H40" s="91">
        <v>1105.43</v>
      </c>
      <c r="I40" s="91">
        <v>0</v>
      </c>
      <c r="J40" s="91">
        <v>0</v>
      </c>
      <c r="K40" s="91">
        <v>0</v>
      </c>
      <c r="L40" s="92">
        <v>32</v>
      </c>
      <c r="M40" s="92">
        <v>27</v>
      </c>
      <c r="N40" s="93" t="s">
        <v>688</v>
      </c>
      <c r="O40" s="229" t="s">
        <v>694</v>
      </c>
      <c r="P40" s="230">
        <v>25</v>
      </c>
    </row>
    <row r="41" s="1" customFormat="1" spans="1:16">
      <c r="A41" s="88">
        <v>5229</v>
      </c>
      <c r="B41" s="228" t="s">
        <v>700</v>
      </c>
      <c r="C41" s="90" t="s">
        <v>701</v>
      </c>
      <c r="D41" s="91">
        <v>28511.04</v>
      </c>
      <c r="E41" s="91">
        <v>0</v>
      </c>
      <c r="F41" s="91">
        <f t="shared" si="0"/>
        <v>28511.04</v>
      </c>
      <c r="G41" s="91">
        <v>28511.04</v>
      </c>
      <c r="H41" s="91">
        <v>0</v>
      </c>
      <c r="I41" s="91">
        <v>0</v>
      </c>
      <c r="J41" s="91">
        <v>0</v>
      </c>
      <c r="K41" s="91">
        <v>0</v>
      </c>
      <c r="L41" s="92">
        <v>514</v>
      </c>
      <c r="M41" s="92">
        <v>560</v>
      </c>
      <c r="N41" s="93" t="s">
        <v>689</v>
      </c>
      <c r="O41" s="229">
        <v>0</v>
      </c>
      <c r="P41" s="230">
        <v>169</v>
      </c>
    </row>
    <row r="42" s="1" customFormat="1" spans="1:16">
      <c r="A42" s="88">
        <v>1566</v>
      </c>
      <c r="B42" s="228" t="s">
        <v>257</v>
      </c>
      <c r="C42" s="90" t="s">
        <v>702</v>
      </c>
      <c r="D42" s="91">
        <v>19988.94</v>
      </c>
      <c r="E42" s="91">
        <v>0</v>
      </c>
      <c r="F42" s="91">
        <f t="shared" si="0"/>
        <v>19988.94</v>
      </c>
      <c r="G42" s="91">
        <v>19988.94</v>
      </c>
      <c r="H42" s="91">
        <v>0</v>
      </c>
      <c r="I42" s="91">
        <v>0</v>
      </c>
      <c r="J42" s="91">
        <v>0</v>
      </c>
      <c r="K42" s="91">
        <v>0</v>
      </c>
      <c r="L42" s="92">
        <v>670</v>
      </c>
      <c r="M42" s="92">
        <v>465</v>
      </c>
      <c r="N42" s="93" t="s">
        <v>688</v>
      </c>
      <c r="O42" s="229">
        <v>0</v>
      </c>
      <c r="P42" s="230">
        <v>252</v>
      </c>
    </row>
    <row r="43" s="1" customFormat="1" spans="1:16">
      <c r="A43" s="88">
        <v>2474</v>
      </c>
      <c r="B43" s="228" t="s">
        <v>276</v>
      </c>
      <c r="C43" s="90" t="s">
        <v>703</v>
      </c>
      <c r="D43" s="91">
        <v>19187.2</v>
      </c>
      <c r="E43" s="91">
        <v>27717.48</v>
      </c>
      <c r="F43" s="91">
        <f t="shared" si="0"/>
        <v>-8530.28</v>
      </c>
      <c r="G43" s="91">
        <v>19187.2</v>
      </c>
      <c r="H43" s="91">
        <v>0</v>
      </c>
      <c r="I43" s="91">
        <v>0</v>
      </c>
      <c r="J43" s="91">
        <v>0</v>
      </c>
      <c r="K43" s="91">
        <v>0</v>
      </c>
      <c r="L43" s="92">
        <v>1307</v>
      </c>
      <c r="M43" s="92">
        <v>1211</v>
      </c>
      <c r="N43" s="93" t="s">
        <v>688</v>
      </c>
      <c r="O43" s="229" t="s">
        <v>688</v>
      </c>
      <c r="P43" s="230">
        <v>755</v>
      </c>
    </row>
    <row r="44" s="1" customFormat="1" spans="1:16">
      <c r="A44" s="88">
        <v>5022</v>
      </c>
      <c r="B44" s="228" t="s">
        <v>682</v>
      </c>
      <c r="C44" s="90" t="s">
        <v>704</v>
      </c>
      <c r="D44" s="91">
        <v>16843.15</v>
      </c>
      <c r="E44" s="91">
        <v>21091.39</v>
      </c>
      <c r="F44" s="91">
        <f t="shared" si="0"/>
        <v>-4248.24</v>
      </c>
      <c r="G44" s="91">
        <v>16843.15</v>
      </c>
      <c r="H44" s="91">
        <v>0</v>
      </c>
      <c r="I44" s="91">
        <v>0</v>
      </c>
      <c r="J44" s="91">
        <v>0</v>
      </c>
      <c r="K44" s="91">
        <v>0</v>
      </c>
      <c r="L44" s="92">
        <v>621</v>
      </c>
      <c r="M44" s="92">
        <v>736</v>
      </c>
      <c r="N44" s="93" t="s">
        <v>688</v>
      </c>
      <c r="O44" s="229" t="s">
        <v>688</v>
      </c>
      <c r="P44" s="230">
        <v>312</v>
      </c>
    </row>
    <row r="45" s="1" customFormat="1" spans="1:16">
      <c r="A45" s="88">
        <v>5260</v>
      </c>
      <c r="B45" s="228" t="s">
        <v>305</v>
      </c>
      <c r="C45" s="90" t="s">
        <v>705</v>
      </c>
      <c r="D45" s="91">
        <v>13756.74</v>
      </c>
      <c r="E45" s="91">
        <v>0</v>
      </c>
      <c r="F45" s="91">
        <f t="shared" si="0"/>
        <v>13756.74</v>
      </c>
      <c r="G45" s="91">
        <v>13756.74</v>
      </c>
      <c r="H45" s="91">
        <v>0</v>
      </c>
      <c r="I45" s="91">
        <v>0</v>
      </c>
      <c r="J45" s="91">
        <v>0</v>
      </c>
      <c r="K45" s="91">
        <v>0</v>
      </c>
      <c r="L45" s="92"/>
      <c r="M45" s="92">
        <v>120</v>
      </c>
      <c r="N45" s="93" t="s">
        <v>689</v>
      </c>
      <c r="O45" s="229">
        <v>0</v>
      </c>
      <c r="P45" s="230">
        <v>47</v>
      </c>
    </row>
    <row r="46" s="1" customFormat="1" spans="1:16">
      <c r="A46" s="88">
        <v>1722</v>
      </c>
      <c r="B46" s="228" t="s">
        <v>268</v>
      </c>
      <c r="C46" s="90" t="s">
        <v>706</v>
      </c>
      <c r="D46" s="91">
        <v>7288.81</v>
      </c>
      <c r="E46" s="91">
        <v>34224.89</v>
      </c>
      <c r="F46" s="91">
        <f t="shared" si="0"/>
        <v>-26936.08</v>
      </c>
      <c r="G46" s="91">
        <v>7288.81</v>
      </c>
      <c r="H46" s="91">
        <v>0</v>
      </c>
      <c r="I46" s="91">
        <v>0</v>
      </c>
      <c r="J46" s="91">
        <v>0</v>
      </c>
      <c r="K46" s="91">
        <v>0</v>
      </c>
      <c r="L46" s="92">
        <v>862</v>
      </c>
      <c r="M46" s="92">
        <v>837</v>
      </c>
      <c r="N46" s="93" t="s">
        <v>688</v>
      </c>
      <c r="O46" s="229" t="s">
        <v>688</v>
      </c>
      <c r="P46" s="230">
        <v>477</v>
      </c>
    </row>
    <row r="47" s="1" customFormat="1" spans="1:16">
      <c r="A47" s="88">
        <v>5160</v>
      </c>
      <c r="B47" s="228" t="s">
        <v>305</v>
      </c>
      <c r="C47" s="90" t="s">
        <v>707</v>
      </c>
      <c r="D47" s="91">
        <v>5213.11</v>
      </c>
      <c r="E47" s="91">
        <v>1141.89</v>
      </c>
      <c r="F47" s="91">
        <f t="shared" si="0"/>
        <v>4071.22</v>
      </c>
      <c r="G47" s="91">
        <v>5213.11</v>
      </c>
      <c r="H47" s="91">
        <v>0</v>
      </c>
      <c r="I47" s="91">
        <v>0</v>
      </c>
      <c r="J47" s="91">
        <v>0</v>
      </c>
      <c r="K47" s="91">
        <v>0</v>
      </c>
      <c r="L47" s="92">
        <v>69</v>
      </c>
      <c r="M47" s="92">
        <v>118</v>
      </c>
      <c r="N47" s="93" t="s">
        <v>688</v>
      </c>
      <c r="O47" s="229" t="s">
        <v>688</v>
      </c>
      <c r="P47" s="230">
        <v>121</v>
      </c>
    </row>
    <row r="48" s="1" customFormat="1" spans="1:16">
      <c r="A48" s="88">
        <v>2313</v>
      </c>
      <c r="B48" s="228" t="s">
        <v>708</v>
      </c>
      <c r="C48" s="90" t="s">
        <v>709</v>
      </c>
      <c r="D48" s="91">
        <v>5112.24</v>
      </c>
      <c r="E48" s="91">
        <v>0</v>
      </c>
      <c r="F48" s="91">
        <f t="shared" si="0"/>
        <v>5112.24</v>
      </c>
      <c r="G48" s="91">
        <v>5112.24</v>
      </c>
      <c r="H48" s="91">
        <v>0</v>
      </c>
      <c r="I48" s="91">
        <v>0</v>
      </c>
      <c r="J48" s="91">
        <v>0</v>
      </c>
      <c r="K48" s="91">
        <v>0</v>
      </c>
      <c r="L48" s="92">
        <v>731</v>
      </c>
      <c r="M48" s="92">
        <v>475</v>
      </c>
      <c r="N48" s="93" t="s">
        <v>688</v>
      </c>
      <c r="O48" s="229">
        <v>0</v>
      </c>
      <c r="P48" s="230">
        <v>358</v>
      </c>
    </row>
    <row r="49" s="1" customFormat="1" spans="1:16">
      <c r="A49" s="88">
        <v>2179</v>
      </c>
      <c r="B49" s="228" t="s">
        <v>268</v>
      </c>
      <c r="C49" s="90" t="s">
        <v>270</v>
      </c>
      <c r="D49" s="91">
        <v>2530.02</v>
      </c>
      <c r="E49" s="91">
        <v>5192.41</v>
      </c>
      <c r="F49" s="91">
        <f t="shared" si="0"/>
        <v>-2662.39</v>
      </c>
      <c r="G49" s="91">
        <v>2530.02</v>
      </c>
      <c r="H49" s="91">
        <v>0</v>
      </c>
      <c r="I49" s="91">
        <v>0</v>
      </c>
      <c r="J49" s="91">
        <v>0</v>
      </c>
      <c r="K49" s="91">
        <v>0</v>
      </c>
      <c r="L49" s="92">
        <v>518</v>
      </c>
      <c r="M49" s="92">
        <v>407</v>
      </c>
      <c r="N49" s="93" t="s">
        <v>688</v>
      </c>
      <c r="O49" s="229" t="s">
        <v>688</v>
      </c>
      <c r="P49" s="230">
        <v>146</v>
      </c>
    </row>
    <row r="50" s="1" customFormat="1" spans="1:16">
      <c r="A50" s="88">
        <v>3785</v>
      </c>
      <c r="B50" s="228" t="s">
        <v>682</v>
      </c>
      <c r="C50" s="90" t="s">
        <v>710</v>
      </c>
      <c r="D50" s="91">
        <v>2087.94</v>
      </c>
      <c r="E50" s="91">
        <v>0</v>
      </c>
      <c r="F50" s="91">
        <f t="shared" si="0"/>
        <v>2087.94</v>
      </c>
      <c r="G50" s="91">
        <v>2087.94</v>
      </c>
      <c r="H50" s="91">
        <v>0</v>
      </c>
      <c r="I50" s="91">
        <v>0</v>
      </c>
      <c r="J50" s="91">
        <v>0</v>
      </c>
      <c r="K50" s="91">
        <v>0</v>
      </c>
      <c r="L50" s="92">
        <v>40</v>
      </c>
      <c r="M50" s="92">
        <v>10</v>
      </c>
      <c r="N50" s="93" t="s">
        <v>697</v>
      </c>
      <c r="O50" s="229">
        <v>0</v>
      </c>
      <c r="P50" s="230">
        <v>7</v>
      </c>
    </row>
    <row r="51" spans="1:16">
      <c r="P51" s="85"/>
    </row>
    <row r="52" spans="1:16">
      <c r="P52" s="85"/>
    </row>
    <row r="53" spans="1:16">
      <c r="P53" s="85"/>
    </row>
    <row r="54" spans="1:16">
      <c r="P54" s="85"/>
    </row>
    <row r="55" spans="1:16">
      <c r="P55" s="85"/>
    </row>
    <row r="56" spans="1:16">
      <c r="P56" s="85"/>
    </row>
    <row r="57" spans="1:16">
      <c r="P57" s="85"/>
    </row>
    <row r="58" spans="1:16">
      <c r="P58" s="85"/>
    </row>
    <row r="59" spans="1:16">
      <c r="P59" s="85"/>
    </row>
    <row r="60" spans="1:16">
      <c r="P60" s="85"/>
    </row>
    <row r="61" spans="1:16">
      <c r="P61" s="85"/>
    </row>
    <row r="62" spans="1:16">
      <c r="P62" s="85"/>
    </row>
    <row r="63" spans="1:16">
      <c r="P63" s="85"/>
    </row>
    <row r="64" spans="1:16">
      <c r="P64" s="85"/>
    </row>
    <row r="65" spans="16:16">
      <c r="P65" s="85"/>
    </row>
    <row r="66" spans="16:16">
      <c r="P66" s="85"/>
    </row>
    <row r="67" spans="16:16">
      <c r="P67" s="85"/>
    </row>
    <row r="68" spans="16:16">
      <c r="P68" s="85"/>
    </row>
    <row r="69" spans="16:16">
      <c r="P69" s="85"/>
    </row>
    <row r="70" spans="16:16">
      <c r="P70" s="85"/>
    </row>
    <row r="71" spans="16:16">
      <c r="P71" s="85"/>
    </row>
    <row r="72" spans="16:16">
      <c r="P72" s="85"/>
    </row>
    <row r="73" spans="16:16">
      <c r="P73" s="85"/>
    </row>
    <row r="74" spans="16:16">
      <c r="P74" s="85"/>
    </row>
    <row r="75" spans="16:16">
      <c r="P75" s="85"/>
    </row>
    <row r="76" spans="16:16">
      <c r="P76" s="85"/>
    </row>
    <row r="77" spans="16:16">
      <c r="P77" s="85"/>
    </row>
    <row r="78" spans="16:16">
      <c r="P78" s="85"/>
    </row>
    <row r="79" spans="16:16">
      <c r="P79" s="85"/>
    </row>
    <row r="80" spans="16:16">
      <c r="P80" s="85"/>
    </row>
    <row r="81" spans="16:16">
      <c r="P81" s="85"/>
    </row>
    <row r="82" spans="16:16">
      <c r="P82" s="85"/>
    </row>
    <row r="83" spans="16:16">
      <c r="P83" s="85"/>
    </row>
    <row r="84" spans="16:16">
      <c r="P84" s="85"/>
    </row>
    <row r="85" spans="16:16">
      <c r="P85" s="85"/>
    </row>
    <row r="86" spans="16:16">
      <c r="P86" s="85"/>
    </row>
    <row r="87" spans="16:16">
      <c r="P87" s="85"/>
    </row>
    <row r="88" spans="16:16">
      <c r="P88" s="85"/>
    </row>
    <row r="89" spans="16:16">
      <c r="P89" s="85"/>
    </row>
    <row r="90" spans="16:16">
      <c r="P90" s="85"/>
    </row>
    <row r="91" spans="16:16">
      <c r="P91" s="85"/>
    </row>
    <row r="92" spans="16:16">
      <c r="P92" s="85"/>
    </row>
    <row r="93" spans="16:16">
      <c r="P93" s="85"/>
    </row>
    <row r="94" spans="16:16">
      <c r="P94" s="85"/>
    </row>
    <row r="95" spans="16:16">
      <c r="P95" s="85"/>
    </row>
    <row r="96" spans="16:16">
      <c r="P96" s="85"/>
    </row>
    <row r="97" spans="16:16">
      <c r="P97" s="85"/>
    </row>
    <row r="98" spans="16:16">
      <c r="P98" s="85"/>
    </row>
    <row r="99" spans="16:16">
      <c r="P99" s="85"/>
    </row>
    <row r="100" spans="16:16">
      <c r="P100" s="85"/>
    </row>
    <row r="101" spans="16:16">
      <c r="P101" s="85"/>
    </row>
    <row r="102" spans="16:16">
      <c r="P102" s="85"/>
    </row>
    <row r="103" spans="16:16">
      <c r="P103" s="85"/>
    </row>
    <row r="104" spans="16:16">
      <c r="P104" s="85"/>
    </row>
    <row r="105" spans="16:16">
      <c r="P105" s="85"/>
    </row>
    <row r="106" spans="16:16">
      <c r="P106" s="85"/>
    </row>
    <row r="107" spans="16:16">
      <c r="P107" s="85"/>
    </row>
    <row r="108" spans="16:16">
      <c r="P108" s="85"/>
    </row>
    <row r="109" spans="16:16">
      <c r="P109" s="85"/>
    </row>
    <row r="110" spans="16:16">
      <c r="P110" s="85"/>
    </row>
    <row r="111" spans="16:16">
      <c r="P111" s="85"/>
    </row>
    <row r="112" spans="16:16">
      <c r="P112" s="85"/>
    </row>
    <row r="113" spans="16:16">
      <c r="P113" s="85"/>
    </row>
    <row r="114" spans="16:16">
      <c r="P114" s="85"/>
    </row>
    <row r="115" spans="16:16">
      <c r="P115" s="85"/>
    </row>
    <row r="116" spans="16:16">
      <c r="P116" s="85"/>
    </row>
    <row r="117" spans="16:16">
      <c r="P117" s="85"/>
    </row>
    <row r="118" spans="16:16">
      <c r="P118" s="85"/>
    </row>
    <row r="119" spans="16:16">
      <c r="P119" s="85"/>
    </row>
    <row r="120" spans="16:16">
      <c r="P120" s="85"/>
    </row>
    <row r="121" spans="16:16">
      <c r="P121" s="85"/>
    </row>
    <row r="122" spans="16:16">
      <c r="P122" s="85"/>
    </row>
    <row r="123" spans="16:16">
      <c r="P123" s="85"/>
    </row>
    <row r="124" spans="16:16">
      <c r="P124" s="85"/>
    </row>
    <row r="125" spans="16:16">
      <c r="P125" s="85"/>
    </row>
    <row r="126" spans="16:16">
      <c r="P126" s="85"/>
    </row>
    <row r="127" spans="16:16">
      <c r="P127" s="85"/>
    </row>
    <row r="128" spans="16:16">
      <c r="P128" s="85"/>
    </row>
    <row r="129" spans="16:16">
      <c r="P129" s="85"/>
    </row>
    <row r="130" spans="16:16">
      <c r="P130" s="85"/>
    </row>
    <row r="131" spans="16:16">
      <c r="P131" s="85"/>
    </row>
    <row r="132" spans="16:16">
      <c r="P132" s="85"/>
    </row>
    <row r="133" spans="16:16">
      <c r="P133" s="85"/>
    </row>
    <row r="134" spans="16:16">
      <c r="P134" s="85"/>
    </row>
    <row r="135" spans="16:16">
      <c r="P135" s="85"/>
    </row>
    <row r="136" spans="16:16">
      <c r="P136" s="85"/>
    </row>
    <row r="137" spans="16:16">
      <c r="P137" s="85"/>
    </row>
    <row r="138" spans="16:16">
      <c r="P138" s="85"/>
    </row>
    <row r="139" spans="16:16">
      <c r="P139" s="85"/>
    </row>
    <row r="140" spans="16:16">
      <c r="P140" s="85"/>
    </row>
    <row r="141" spans="16:16">
      <c r="P141" s="85"/>
    </row>
    <row r="142" spans="16:16">
      <c r="P142" s="85"/>
    </row>
    <row r="143" spans="16:16">
      <c r="P143" s="85"/>
    </row>
    <row r="144" spans="16:16">
      <c r="P144" s="85"/>
    </row>
    <row r="145" spans="16:16">
      <c r="P145" s="85"/>
    </row>
    <row r="146" spans="16:16">
      <c r="P146" s="85"/>
    </row>
    <row r="147" spans="16:16">
      <c r="P147" s="85"/>
    </row>
    <row r="148" spans="16:16">
      <c r="P148" s="85"/>
    </row>
    <row r="149" spans="16:16">
      <c r="P149" s="85"/>
    </row>
    <row r="150" spans="16:16">
      <c r="P150" s="85"/>
    </row>
    <row r="151" spans="16:16">
      <c r="P151" s="85"/>
    </row>
    <row r="152" spans="16:16">
      <c r="P152" s="85"/>
    </row>
    <row r="153" spans="16:16">
      <c r="P153" s="85"/>
    </row>
    <row r="154" spans="16:16">
      <c r="P154" s="85"/>
    </row>
    <row r="155" spans="16:16">
      <c r="P155" s="85"/>
    </row>
    <row r="156" spans="16:16">
      <c r="P156" s="85"/>
    </row>
    <row r="157" spans="16:16">
      <c r="P157" s="85"/>
    </row>
    <row r="158" spans="16:16">
      <c r="P158" s="85"/>
    </row>
    <row r="159" spans="16:16">
      <c r="P159" s="85"/>
    </row>
    <row r="160" spans="16:16">
      <c r="P160" s="85"/>
    </row>
    <row r="161" spans="16:16">
      <c r="P161" s="85"/>
    </row>
    <row r="162" spans="16:16">
      <c r="P162" s="85"/>
    </row>
    <row r="163" spans="16:16">
      <c r="P163" s="85"/>
    </row>
  </sheetData>
  <autoFilter xmlns:etc="http://www.wps.cn/officeDocument/2017/etCustomData" ref="A8:P50" etc:filterBottomFollowUsedRange="0">
    <sortState ref="A8:P50">
      <sortCondition ref="K8:K9" descending="1"/>
    </sortState>
    <extLst/>
  </autoFilter>
  <mergeCells count="19">
    <mergeCell ref="E1:I1"/>
    <mergeCell ref="G7:K7"/>
    <mergeCell ref="A8:A9"/>
    <mergeCell ref="B8:B9"/>
    <mergeCell ref="C1:C2"/>
    <mergeCell ref="C8:C9"/>
    <mergeCell ref="D8:D9"/>
    <mergeCell ref="E8:E9"/>
    <mergeCell ref="F8:F9"/>
    <mergeCell ref="G8:G9"/>
    <mergeCell ref="H8:H9"/>
    <mergeCell ref="I8:I9"/>
    <mergeCell ref="J8:J9"/>
    <mergeCell ref="K8:K9"/>
    <mergeCell ref="L8:L9"/>
    <mergeCell ref="M8:M9"/>
    <mergeCell ref="N8:N9"/>
    <mergeCell ref="O8:O9"/>
    <mergeCell ref="P8:P9"/>
  </mergeCells>
  <conditionalFormatting sqref="D5:I5">
    <cfRule type="cellIs" dxfId="0" priority="1" operator="lessThan">
      <formula>0</formula>
    </cfRule>
    <cfRule type="cellIs" dxfId="1" priority="2" operator="greaterThan">
      <formula>0</formula>
    </cfRule>
  </conditionalFormatting>
  <pageMargins left="0.7" right="0.7" top="0.75" bottom="0.75" header="0.3" footer="0.3"/>
  <pageSetup paperSize="1" orientation="portrait"/>
  <headerFooter>
    <oddFooter>&amp;L&amp;1#&amp;"Calibri"&amp;10&amp;K000000John Keells Group - Confidential</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799432355723746"/>
  </sheetPr>
  <dimension ref="A1:P186"/>
  <sheetViews>
    <sheetView workbookViewId="0">
      <selection activeCell="K14" sqref="K14"/>
    </sheetView>
  </sheetViews>
  <sheetFormatPr defaultColWidth="9.12037037037037" defaultRowHeight="14.4"/>
  <cols>
    <col min="1" max="1" width="8.37037037037037" style="2" customWidth="1"/>
    <col min="2" max="2" width="10.25" style="2" customWidth="1"/>
    <col min="3" max="3" width="19.1203703703704" style="2" customWidth="1"/>
    <col min="4" max="4" width="13.75" style="60" customWidth="1"/>
    <col min="5" max="5" width="11.25" customWidth="1"/>
    <col min="6" max="6" width="14.1203703703704" style="60" customWidth="1"/>
    <col min="7" max="7" width="11.75" style="60" customWidth="1"/>
    <col min="8" max="8" width="13.3703703703704" style="60" customWidth="1"/>
    <col min="9" max="9" width="11.25" style="60" customWidth="1"/>
    <col min="10" max="10" width="12.75" style="60" customWidth="1"/>
    <col min="11" max="11" width="12.6296296296296" style="60" customWidth="1"/>
    <col min="12" max="12" width="11.75" style="2" customWidth="1"/>
    <col min="13" max="13" width="10.8796296296296" style="2" customWidth="1"/>
    <col min="14" max="14" width="38.3703703703704" style="2" customWidth="1"/>
    <col min="15" max="15" width="38.6296296296296" style="86" customWidth="1"/>
    <col min="16" max="16" width="16.3703703703704" style="2" customWidth="1"/>
    <col min="17" max="16384" width="9.12037037037037" style="2"/>
  </cols>
  <sheetData>
    <row r="1" ht="15.15" spans="1:16">
      <c r="A1" s="27"/>
      <c r="C1" s="204" t="s">
        <v>133</v>
      </c>
      <c r="D1" s="205" t="s">
        <v>134</v>
      </c>
      <c r="E1" s="206" t="s">
        <v>135</v>
      </c>
      <c r="F1" s="206"/>
      <c r="G1" s="206"/>
      <c r="H1" s="206"/>
      <c r="I1" s="207"/>
      <c r="J1" s="61"/>
      <c r="K1" s="61"/>
    </row>
    <row r="2" spans="1:16">
      <c r="A2" s="27" t="s">
        <v>206</v>
      </c>
      <c r="C2" s="208"/>
      <c r="D2" s="209" t="s">
        <v>137</v>
      </c>
      <c r="E2" s="63" t="s">
        <v>138</v>
      </c>
      <c r="F2" s="64" t="s">
        <v>139</v>
      </c>
      <c r="G2" s="64" t="s">
        <v>140</v>
      </c>
      <c r="H2" s="64" t="s">
        <v>141</v>
      </c>
      <c r="I2" s="65" t="s">
        <v>142</v>
      </c>
      <c r="J2" s="61"/>
      <c r="K2" s="61"/>
    </row>
    <row r="3" spans="1:16">
      <c r="A3" s="27"/>
      <c r="C3" s="578" t="s">
        <v>711</v>
      </c>
      <c r="D3" s="66">
        <v>789944.94</v>
      </c>
      <c r="E3" s="67">
        <v>222565.37</v>
      </c>
      <c r="F3" s="20">
        <v>8062.51</v>
      </c>
      <c r="G3" s="20">
        <v>2379.23</v>
      </c>
      <c r="H3" s="20">
        <v>15250.64</v>
      </c>
      <c r="I3" s="21">
        <v>541687.19</v>
      </c>
      <c r="J3" s="61"/>
      <c r="K3" s="61"/>
    </row>
    <row r="4" spans="1:16">
      <c r="A4" s="27"/>
      <c r="C4" s="578" t="s">
        <v>712</v>
      </c>
      <c r="D4" s="66">
        <v>767832.91</v>
      </c>
      <c r="E4" s="67">
        <v>204176.78</v>
      </c>
      <c r="F4" s="20">
        <v>2473.48</v>
      </c>
      <c r="G4" s="20">
        <v>12111.51</v>
      </c>
      <c r="H4" s="20">
        <v>7314.88</v>
      </c>
      <c r="I4" s="21">
        <v>541756.26</v>
      </c>
      <c r="J4" s="61"/>
      <c r="K4" s="61"/>
    </row>
    <row r="5" ht="15.15" spans="1:16">
      <c r="A5" s="27"/>
      <c r="C5" s="210" t="s">
        <v>145</v>
      </c>
      <c r="D5" s="211">
        <v>22112.0299999997</v>
      </c>
      <c r="E5" s="212">
        <v>18388.5899999999</v>
      </c>
      <c r="F5" s="25">
        <v>5589.03</v>
      </c>
      <c r="G5" s="25">
        <v>-9732.28</v>
      </c>
      <c r="H5" s="25">
        <v>7935.76</v>
      </c>
      <c r="I5" s="26">
        <v>-69.0700000001816</v>
      </c>
      <c r="J5" s="61"/>
      <c r="K5" s="61"/>
    </row>
    <row r="6" ht="15.15" spans="1:16">
      <c r="A6" s="27"/>
      <c r="B6" s="27"/>
      <c r="C6" s="27"/>
      <c r="D6" s="69"/>
      <c r="E6" s="2"/>
      <c r="F6" s="69"/>
      <c r="G6" s="69"/>
      <c r="H6" s="69"/>
      <c r="I6" s="69"/>
      <c r="J6" s="69"/>
      <c r="K6" s="69"/>
      <c r="L6" s="27"/>
      <c r="M6" s="27"/>
      <c r="O6" s="87"/>
    </row>
    <row r="7" spans="1:16">
      <c r="A7" s="27"/>
      <c r="B7" s="27"/>
      <c r="C7" s="27"/>
      <c r="D7" s="29"/>
      <c r="E7" s="29"/>
      <c r="F7" s="30"/>
      <c r="G7" s="31" t="s">
        <v>146</v>
      </c>
      <c r="H7" s="32"/>
      <c r="I7" s="32"/>
      <c r="J7" s="32"/>
      <c r="K7" s="33"/>
      <c r="L7" s="34"/>
      <c r="M7" s="34"/>
      <c r="N7" s="35"/>
    </row>
    <row r="8" ht="16.5" customHeight="1" spans="1:16">
      <c r="A8" s="36" t="s">
        <v>147</v>
      </c>
      <c r="B8" s="36" t="s">
        <v>148</v>
      </c>
      <c r="C8" s="36" t="s">
        <v>149</v>
      </c>
      <c r="D8" s="37" t="s">
        <v>200</v>
      </c>
      <c r="E8" s="37" t="s">
        <v>713</v>
      </c>
      <c r="F8" s="37" t="s">
        <v>152</v>
      </c>
      <c r="G8" s="37" t="s">
        <v>153</v>
      </c>
      <c r="H8" s="37" t="s">
        <v>154</v>
      </c>
      <c r="I8" s="37" t="s">
        <v>155</v>
      </c>
      <c r="J8" s="37" t="s">
        <v>156</v>
      </c>
      <c r="K8" s="37" t="s">
        <v>157</v>
      </c>
      <c r="L8" s="36" t="s">
        <v>714</v>
      </c>
      <c r="M8" s="36" t="s">
        <v>201</v>
      </c>
      <c r="N8" s="38" t="s">
        <v>715</v>
      </c>
      <c r="O8" s="39" t="s">
        <v>161</v>
      </c>
      <c r="P8" s="39" t="s">
        <v>204</v>
      </c>
    </row>
    <row r="9" ht="33" customHeight="1" spans="1:16">
      <c r="A9" s="36"/>
      <c r="B9" s="36"/>
      <c r="C9" s="36"/>
      <c r="D9" s="37"/>
      <c r="E9" s="37"/>
      <c r="F9" s="37"/>
      <c r="G9" s="37"/>
      <c r="H9" s="37"/>
      <c r="I9" s="37"/>
      <c r="J9" s="37"/>
      <c r="K9" s="37"/>
      <c r="L9" s="36"/>
      <c r="M9" s="36"/>
      <c r="N9" s="38"/>
      <c r="O9" s="41"/>
      <c r="P9" s="41"/>
    </row>
    <row r="10" s="1" customFormat="1" ht="43.2" spans="1:16">
      <c r="A10" s="213">
        <v>2474</v>
      </c>
      <c r="B10" s="214" t="s">
        <v>276</v>
      </c>
      <c r="C10" s="215" t="s">
        <v>703</v>
      </c>
      <c r="D10" s="216">
        <v>85971.72</v>
      </c>
      <c r="E10" s="216">
        <v>0</v>
      </c>
      <c r="F10" s="216">
        <f t="shared" ref="F10:F43" si="0">D10-E10</f>
        <v>85971.72</v>
      </c>
      <c r="G10" s="216">
        <v>85971.72</v>
      </c>
      <c r="H10" s="216">
        <v>0</v>
      </c>
      <c r="I10" s="216">
        <v>0</v>
      </c>
      <c r="J10" s="216">
        <v>0</v>
      </c>
      <c r="K10" s="216">
        <v>0</v>
      </c>
      <c r="L10" s="217">
        <v>2732</v>
      </c>
      <c r="M10" s="217">
        <v>1212</v>
      </c>
      <c r="N10" s="48" t="s">
        <v>716</v>
      </c>
      <c r="O10" s="216" t="s">
        <v>88</v>
      </c>
      <c r="P10" s="218"/>
    </row>
    <row r="11" s="1" customFormat="1" ht="28.8" spans="1:16">
      <c r="A11" s="213">
        <v>12</v>
      </c>
      <c r="B11" s="214" t="s">
        <v>252</v>
      </c>
      <c r="C11" s="215" t="s">
        <v>717</v>
      </c>
      <c r="D11" s="216">
        <v>32142.24</v>
      </c>
      <c r="E11" s="216">
        <v>0</v>
      </c>
      <c r="F11" s="216">
        <f t="shared" si="0"/>
        <v>32142.24</v>
      </c>
      <c r="G11" s="216">
        <v>32142.24</v>
      </c>
      <c r="H11" s="216">
        <v>0</v>
      </c>
      <c r="I11" s="216">
        <v>0</v>
      </c>
      <c r="J11" s="216">
        <v>0</v>
      </c>
      <c r="K11" s="216">
        <v>0</v>
      </c>
      <c r="L11" s="217">
        <v>1234</v>
      </c>
      <c r="M11" s="217">
        <v>729</v>
      </c>
      <c r="N11" s="219" t="s">
        <v>718</v>
      </c>
      <c r="O11" s="216" t="s">
        <v>88</v>
      </c>
      <c r="P11" s="218"/>
    </row>
    <row r="12" s="1" customFormat="1" ht="28.8" spans="1:16">
      <c r="A12" s="213">
        <v>4127</v>
      </c>
      <c r="B12" s="214" t="s">
        <v>708</v>
      </c>
      <c r="C12" s="215" t="s">
        <v>719</v>
      </c>
      <c r="D12" s="216">
        <v>20180.19</v>
      </c>
      <c r="E12" s="216">
        <v>0</v>
      </c>
      <c r="F12" s="216">
        <f t="shared" si="0"/>
        <v>20180.19</v>
      </c>
      <c r="G12" s="216">
        <v>20180.19</v>
      </c>
      <c r="H12" s="216">
        <v>0</v>
      </c>
      <c r="I12" s="216">
        <v>0</v>
      </c>
      <c r="J12" s="216">
        <v>0</v>
      </c>
      <c r="K12" s="216">
        <v>0</v>
      </c>
      <c r="L12" s="217">
        <v>805</v>
      </c>
      <c r="M12" s="217">
        <v>357</v>
      </c>
      <c r="N12" s="219" t="s">
        <v>720</v>
      </c>
      <c r="O12" s="216" t="s">
        <v>88</v>
      </c>
      <c r="P12" s="218"/>
    </row>
    <row r="13" s="1" customFormat="1" ht="43.2" spans="1:16">
      <c r="A13" s="213">
        <v>2313</v>
      </c>
      <c r="B13" s="214" t="s">
        <v>708</v>
      </c>
      <c r="C13" s="215" t="s">
        <v>709</v>
      </c>
      <c r="D13" s="216">
        <v>14733.39</v>
      </c>
      <c r="E13" s="216">
        <v>0</v>
      </c>
      <c r="F13" s="216">
        <f t="shared" si="0"/>
        <v>14733.39</v>
      </c>
      <c r="G13" s="216">
        <v>14733.39</v>
      </c>
      <c r="H13" s="216">
        <v>0</v>
      </c>
      <c r="I13" s="216">
        <v>0</v>
      </c>
      <c r="J13" s="216">
        <v>0</v>
      </c>
      <c r="K13" s="216">
        <v>0</v>
      </c>
      <c r="L13" s="217">
        <v>568</v>
      </c>
      <c r="M13" s="217">
        <v>365</v>
      </c>
      <c r="N13" s="219" t="s">
        <v>721</v>
      </c>
      <c r="O13" s="216" t="s">
        <v>88</v>
      </c>
      <c r="P13" s="218"/>
    </row>
    <row r="14" s="1" customFormat="1" spans="1:16">
      <c r="A14" s="213">
        <v>2179</v>
      </c>
      <c r="B14" s="214" t="s">
        <v>268</v>
      </c>
      <c r="C14" s="215" t="s">
        <v>270</v>
      </c>
      <c r="D14" s="216">
        <v>8192.64</v>
      </c>
      <c r="E14" s="216">
        <v>0</v>
      </c>
      <c r="F14" s="216">
        <f t="shared" si="0"/>
        <v>8192.64</v>
      </c>
      <c r="G14" s="216">
        <v>8192.64</v>
      </c>
      <c r="H14" s="216">
        <v>0</v>
      </c>
      <c r="I14" s="216">
        <v>0</v>
      </c>
      <c r="J14" s="216">
        <v>0</v>
      </c>
      <c r="K14" s="216">
        <v>0</v>
      </c>
      <c r="L14" s="217">
        <v>446</v>
      </c>
      <c r="M14" s="217">
        <v>384</v>
      </c>
      <c r="N14" s="218" t="s">
        <v>722</v>
      </c>
      <c r="O14" s="216" t="s">
        <v>88</v>
      </c>
      <c r="P14" s="218"/>
    </row>
    <row r="15" s="1" customFormat="1" spans="1:16">
      <c r="A15" s="213">
        <v>100</v>
      </c>
      <c r="B15" s="214" t="s">
        <v>252</v>
      </c>
      <c r="C15" s="215" t="s">
        <v>723</v>
      </c>
      <c r="D15" s="216">
        <v>6990.7</v>
      </c>
      <c r="E15" s="216">
        <v>17805.63</v>
      </c>
      <c r="F15" s="216">
        <f t="shared" si="0"/>
        <v>-10814.93</v>
      </c>
      <c r="G15" s="216">
        <v>6990.7</v>
      </c>
      <c r="H15" s="216">
        <v>0</v>
      </c>
      <c r="I15" s="216">
        <v>0</v>
      </c>
      <c r="J15" s="216">
        <v>0</v>
      </c>
      <c r="K15" s="216">
        <v>0</v>
      </c>
      <c r="L15" s="217">
        <v>333</v>
      </c>
      <c r="M15" s="217">
        <v>314</v>
      </c>
      <c r="N15" s="218" t="s">
        <v>724</v>
      </c>
      <c r="O15" s="216" t="s">
        <v>725</v>
      </c>
      <c r="P15" s="218"/>
    </row>
    <row r="16" s="1" customFormat="1" spans="1:16">
      <c r="A16" s="213">
        <v>5157</v>
      </c>
      <c r="B16" s="214" t="s">
        <v>232</v>
      </c>
      <c r="C16" s="215" t="s">
        <v>329</v>
      </c>
      <c r="D16" s="216">
        <v>5719.79</v>
      </c>
      <c r="E16" s="216">
        <v>9314.64</v>
      </c>
      <c r="F16" s="216">
        <f t="shared" si="0"/>
        <v>-3594.85</v>
      </c>
      <c r="G16" s="216">
        <v>5719.79</v>
      </c>
      <c r="H16" s="216">
        <v>0</v>
      </c>
      <c r="I16" s="216">
        <v>0</v>
      </c>
      <c r="J16" s="216">
        <v>0</v>
      </c>
      <c r="K16" s="216">
        <v>0</v>
      </c>
      <c r="L16" s="217">
        <v>125</v>
      </c>
      <c r="M16" s="217">
        <v>172</v>
      </c>
      <c r="N16" s="218" t="s">
        <v>724</v>
      </c>
      <c r="O16" s="216" t="s">
        <v>725</v>
      </c>
      <c r="P16" s="218"/>
    </row>
    <row r="17" s="1" customFormat="1" ht="28.8" spans="1:16">
      <c r="A17" s="213">
        <v>3296</v>
      </c>
      <c r="B17" s="214" t="s">
        <v>232</v>
      </c>
      <c r="C17" s="215" t="s">
        <v>296</v>
      </c>
      <c r="D17" s="216">
        <v>5364.96</v>
      </c>
      <c r="E17" s="216">
        <v>1589.76</v>
      </c>
      <c r="F17" s="216">
        <f t="shared" si="0"/>
        <v>3775.2</v>
      </c>
      <c r="G17" s="216">
        <v>5364.96</v>
      </c>
      <c r="H17" s="216">
        <v>0</v>
      </c>
      <c r="I17" s="216">
        <v>0</v>
      </c>
      <c r="J17" s="216">
        <v>0</v>
      </c>
      <c r="K17" s="216">
        <v>0</v>
      </c>
      <c r="L17" s="217">
        <v>286</v>
      </c>
      <c r="M17" s="217">
        <v>226</v>
      </c>
      <c r="N17" s="219" t="s">
        <v>718</v>
      </c>
      <c r="O17" s="216" t="s">
        <v>725</v>
      </c>
      <c r="P17" s="218"/>
    </row>
    <row r="18" s="1" customFormat="1" spans="1:16">
      <c r="A18" s="213">
        <v>3141</v>
      </c>
      <c r="B18" s="214" t="s">
        <v>268</v>
      </c>
      <c r="C18" s="215" t="s">
        <v>292</v>
      </c>
      <c r="D18" s="216">
        <v>6202.52</v>
      </c>
      <c r="E18" s="216">
        <v>12013.4</v>
      </c>
      <c r="F18" s="216">
        <f t="shared" si="0"/>
        <v>-5810.88</v>
      </c>
      <c r="G18" s="216">
        <v>4137.62</v>
      </c>
      <c r="H18" s="216">
        <v>2064.9</v>
      </c>
      <c r="I18" s="216">
        <v>0</v>
      </c>
      <c r="J18" s="216">
        <v>0</v>
      </c>
      <c r="K18" s="216">
        <v>0</v>
      </c>
      <c r="L18" s="217">
        <v>165</v>
      </c>
      <c r="M18" s="217">
        <v>101</v>
      </c>
      <c r="N18" s="218" t="s">
        <v>725</v>
      </c>
      <c r="O18" s="216" t="s">
        <v>725</v>
      </c>
      <c r="P18" s="218"/>
    </row>
    <row r="19" s="1" customFormat="1" ht="28.8" spans="1:16">
      <c r="A19" s="213">
        <v>2057</v>
      </c>
      <c r="B19" s="214" t="s">
        <v>305</v>
      </c>
      <c r="C19" s="215" t="s">
        <v>726</v>
      </c>
      <c r="D19" s="216">
        <v>1814.8</v>
      </c>
      <c r="E19" s="216">
        <v>6819.72</v>
      </c>
      <c r="F19" s="216">
        <f t="shared" si="0"/>
        <v>-5004.92</v>
      </c>
      <c r="G19" s="216">
        <v>412.58</v>
      </c>
      <c r="H19" s="216">
        <v>1402.22</v>
      </c>
      <c r="I19" s="216">
        <v>0</v>
      </c>
      <c r="J19" s="216">
        <v>0</v>
      </c>
      <c r="K19" s="216">
        <v>0</v>
      </c>
      <c r="L19" s="217">
        <v>103</v>
      </c>
      <c r="M19" s="217">
        <v>55</v>
      </c>
      <c r="N19" s="219" t="s">
        <v>727</v>
      </c>
      <c r="O19" s="216" t="s">
        <v>725</v>
      </c>
      <c r="P19" s="218"/>
    </row>
    <row r="20" s="1" customFormat="1" ht="43.2" spans="1:16">
      <c r="A20" s="213">
        <v>4667</v>
      </c>
      <c r="B20" s="214" t="s">
        <v>305</v>
      </c>
      <c r="C20" s="215" t="s">
        <v>677</v>
      </c>
      <c r="D20" s="216">
        <v>9476.78</v>
      </c>
      <c r="E20" s="216">
        <v>9290.96</v>
      </c>
      <c r="F20" s="216">
        <f t="shared" si="0"/>
        <v>185.820000000002</v>
      </c>
      <c r="G20" s="216">
        <v>185.82</v>
      </c>
      <c r="H20" s="216">
        <v>182.18</v>
      </c>
      <c r="I20" s="216">
        <v>178.6</v>
      </c>
      <c r="J20" s="216">
        <v>8930.18</v>
      </c>
      <c r="K20" s="216">
        <v>0</v>
      </c>
      <c r="L20" s="217"/>
      <c r="M20" s="217">
        <v>0</v>
      </c>
      <c r="N20" s="219" t="s">
        <v>728</v>
      </c>
      <c r="O20" s="216" t="s">
        <v>729</v>
      </c>
      <c r="P20" s="218"/>
    </row>
    <row r="21" s="1" customFormat="1" ht="72" spans="1:16">
      <c r="A21" s="213">
        <v>4637</v>
      </c>
      <c r="B21" s="214" t="s">
        <v>224</v>
      </c>
      <c r="C21" s="215" t="s">
        <v>680</v>
      </c>
      <c r="D21" s="216">
        <v>4373.12</v>
      </c>
      <c r="E21" s="216">
        <v>4287.37</v>
      </c>
      <c r="F21" s="216">
        <f t="shared" si="0"/>
        <v>85.75</v>
      </c>
      <c r="G21" s="216">
        <v>85.75</v>
      </c>
      <c r="H21" s="216">
        <v>99.07</v>
      </c>
      <c r="I21" s="216">
        <v>111.97</v>
      </c>
      <c r="J21" s="216">
        <v>4076.33</v>
      </c>
      <c r="K21" s="216">
        <v>0</v>
      </c>
      <c r="L21" s="217"/>
      <c r="M21" s="217">
        <v>0</v>
      </c>
      <c r="N21" s="48" t="s">
        <v>730</v>
      </c>
      <c r="O21" s="216" t="s">
        <v>731</v>
      </c>
      <c r="P21" s="218"/>
    </row>
    <row r="22" s="1" customFormat="1" ht="57.6" spans="1:16">
      <c r="A22" s="213">
        <v>306</v>
      </c>
      <c r="B22" s="214" t="s">
        <v>232</v>
      </c>
      <c r="C22" s="215" t="s">
        <v>684</v>
      </c>
      <c r="D22" s="216">
        <v>2172.65</v>
      </c>
      <c r="E22" s="216">
        <v>2130.05</v>
      </c>
      <c r="F22" s="216">
        <f t="shared" si="0"/>
        <v>42.5999999999999</v>
      </c>
      <c r="G22" s="216">
        <v>42.6</v>
      </c>
      <c r="H22" s="216">
        <v>65.77</v>
      </c>
      <c r="I22" s="216">
        <v>824.14</v>
      </c>
      <c r="J22" s="216">
        <v>1240.14</v>
      </c>
      <c r="K22" s="216">
        <v>0</v>
      </c>
      <c r="L22" s="217">
        <v>17</v>
      </c>
      <c r="M22" s="217">
        <v>0</v>
      </c>
      <c r="N22" s="48" t="s">
        <v>732</v>
      </c>
      <c r="O22" s="216" t="s">
        <v>733</v>
      </c>
      <c r="P22" s="218"/>
    </row>
    <row r="23" s="1" customFormat="1" ht="43.2" spans="1:16">
      <c r="A23" s="213">
        <v>4570</v>
      </c>
      <c r="B23" s="214" t="s">
        <v>305</v>
      </c>
      <c r="C23" s="215" t="s">
        <v>686</v>
      </c>
      <c r="D23" s="216">
        <v>1119.02</v>
      </c>
      <c r="E23" s="216">
        <v>1870.08</v>
      </c>
      <c r="F23" s="216">
        <f t="shared" si="0"/>
        <v>-751.06</v>
      </c>
      <c r="G23" s="216">
        <v>36.94</v>
      </c>
      <c r="H23" s="216">
        <v>48.67</v>
      </c>
      <c r="I23" s="216">
        <v>823.62</v>
      </c>
      <c r="J23" s="216">
        <v>209.79</v>
      </c>
      <c r="K23" s="216">
        <v>0</v>
      </c>
      <c r="L23" s="217">
        <v>5</v>
      </c>
      <c r="M23" s="217">
        <v>8</v>
      </c>
      <c r="N23" s="219" t="s">
        <v>734</v>
      </c>
      <c r="O23" s="216" t="s">
        <v>725</v>
      </c>
      <c r="P23" s="218"/>
    </row>
    <row r="24" s="1" customFormat="1" ht="28.8" spans="1:16">
      <c r="A24" s="213">
        <v>3785</v>
      </c>
      <c r="B24" s="214" t="s">
        <v>682</v>
      </c>
      <c r="C24" s="215" t="s">
        <v>710</v>
      </c>
      <c r="D24" s="216">
        <v>1475.73</v>
      </c>
      <c r="E24" s="216">
        <v>1446.79</v>
      </c>
      <c r="F24" s="216">
        <f t="shared" si="0"/>
        <v>28.9400000000001</v>
      </c>
      <c r="G24" s="216">
        <v>28.94</v>
      </c>
      <c r="H24" s="216">
        <v>1044.37</v>
      </c>
      <c r="I24" s="216">
        <v>402.42</v>
      </c>
      <c r="J24" s="216">
        <v>0</v>
      </c>
      <c r="K24" s="216">
        <v>0</v>
      </c>
      <c r="L24" s="217">
        <v>9</v>
      </c>
      <c r="M24" s="217">
        <v>0</v>
      </c>
      <c r="N24" s="219" t="s">
        <v>735</v>
      </c>
      <c r="O24" s="216" t="s">
        <v>725</v>
      </c>
      <c r="P24" s="218"/>
    </row>
    <row r="25" s="1" customFormat="1" ht="43.2" spans="1:16">
      <c r="A25" s="213">
        <v>190</v>
      </c>
      <c r="B25" s="214" t="s">
        <v>224</v>
      </c>
      <c r="C25" s="215" t="s">
        <v>736</v>
      </c>
      <c r="D25" s="216">
        <v>902.03</v>
      </c>
      <c r="E25" s="216">
        <v>884.34</v>
      </c>
      <c r="F25" s="216">
        <f t="shared" si="0"/>
        <v>17.6899999999999</v>
      </c>
      <c r="G25" s="216">
        <v>17.69</v>
      </c>
      <c r="H25" s="216">
        <v>884.34</v>
      </c>
      <c r="I25" s="216">
        <v>0</v>
      </c>
      <c r="J25" s="216">
        <v>0</v>
      </c>
      <c r="K25" s="216">
        <v>0</v>
      </c>
      <c r="L25" s="217">
        <v>3</v>
      </c>
      <c r="M25" s="217">
        <v>0</v>
      </c>
      <c r="N25" s="219" t="s">
        <v>737</v>
      </c>
      <c r="O25" s="216" t="s">
        <v>725</v>
      </c>
      <c r="P25" s="218"/>
    </row>
    <row r="26" s="1" customFormat="1" spans="1:16">
      <c r="A26" s="213">
        <v>4703</v>
      </c>
      <c r="B26" s="214" t="s">
        <v>252</v>
      </c>
      <c r="C26" s="215" t="s">
        <v>690</v>
      </c>
      <c r="D26" s="216">
        <v>738.16</v>
      </c>
      <c r="E26" s="216">
        <v>723.69</v>
      </c>
      <c r="F26" s="216">
        <f t="shared" si="0"/>
        <v>14.4699999999999</v>
      </c>
      <c r="G26" s="216">
        <v>14.47</v>
      </c>
      <c r="H26" s="216">
        <v>723.69</v>
      </c>
      <c r="I26" s="216">
        <v>0</v>
      </c>
      <c r="J26" s="216">
        <v>0</v>
      </c>
      <c r="K26" s="216">
        <v>0</v>
      </c>
      <c r="L26" s="217"/>
      <c r="M26" s="217">
        <v>0</v>
      </c>
      <c r="N26" s="218" t="s">
        <v>738</v>
      </c>
      <c r="O26" s="216" t="s">
        <v>725</v>
      </c>
      <c r="P26" s="218"/>
    </row>
    <row r="27" s="1" customFormat="1" ht="28.8" spans="1:16">
      <c r="A27" s="213">
        <v>4774</v>
      </c>
      <c r="B27" s="214" t="s">
        <v>232</v>
      </c>
      <c r="C27" s="215" t="s">
        <v>685</v>
      </c>
      <c r="D27" s="216">
        <v>400.9</v>
      </c>
      <c r="E27" s="216">
        <v>393.04</v>
      </c>
      <c r="F27" s="216">
        <f t="shared" si="0"/>
        <v>7.85999999999996</v>
      </c>
      <c r="G27" s="216">
        <v>7.86</v>
      </c>
      <c r="H27" s="216">
        <v>7.71</v>
      </c>
      <c r="I27" s="216">
        <v>7.56</v>
      </c>
      <c r="J27" s="216">
        <v>21.79</v>
      </c>
      <c r="K27" s="216">
        <v>355.98</v>
      </c>
      <c r="L27" s="217"/>
      <c r="M27" s="217">
        <v>0</v>
      </c>
      <c r="N27" s="219" t="s">
        <v>739</v>
      </c>
      <c r="O27" s="216" t="s">
        <v>68</v>
      </c>
      <c r="P27" s="218"/>
    </row>
    <row r="28" s="1" customFormat="1" ht="28.8" spans="1:16">
      <c r="A28" s="213">
        <v>590</v>
      </c>
      <c r="B28" s="214" t="s">
        <v>232</v>
      </c>
      <c r="C28" s="215" t="s">
        <v>740</v>
      </c>
      <c r="D28" s="216">
        <v>290.16</v>
      </c>
      <c r="E28" s="216">
        <v>284.47</v>
      </c>
      <c r="F28" s="216">
        <f t="shared" si="0"/>
        <v>5.69</v>
      </c>
      <c r="G28" s="216">
        <v>5.69</v>
      </c>
      <c r="H28" s="216">
        <v>24.58</v>
      </c>
      <c r="I28" s="216">
        <v>28.86</v>
      </c>
      <c r="J28" s="216">
        <v>231.03</v>
      </c>
      <c r="K28" s="216">
        <v>0</v>
      </c>
      <c r="L28" s="217">
        <v>12</v>
      </c>
      <c r="M28" s="217">
        <v>0</v>
      </c>
      <c r="N28" s="219" t="s">
        <v>741</v>
      </c>
      <c r="O28" s="216" t="s">
        <v>733</v>
      </c>
      <c r="P28" s="218"/>
    </row>
    <row r="29" s="1" customFormat="1" spans="1:16">
      <c r="A29" s="213">
        <v>2348</v>
      </c>
      <c r="B29" s="214" t="s">
        <v>229</v>
      </c>
      <c r="C29" s="215" t="s">
        <v>742</v>
      </c>
      <c r="D29" s="216">
        <v>109.3</v>
      </c>
      <c r="E29" s="216">
        <v>107.16</v>
      </c>
      <c r="F29" s="216">
        <f t="shared" si="0"/>
        <v>2.14</v>
      </c>
      <c r="G29" s="216">
        <v>2.14</v>
      </c>
      <c r="H29" s="216">
        <v>2.1</v>
      </c>
      <c r="I29" s="216">
        <v>2.06</v>
      </c>
      <c r="J29" s="216">
        <v>103</v>
      </c>
      <c r="K29" s="216">
        <v>0</v>
      </c>
      <c r="L29" s="217"/>
      <c r="M29" s="217">
        <v>0</v>
      </c>
      <c r="N29" s="220" t="s">
        <v>743</v>
      </c>
      <c r="O29" s="216" t="s">
        <v>68</v>
      </c>
      <c r="P29" s="218"/>
    </row>
    <row r="30" s="1" customFormat="1" spans="1:16">
      <c r="A30" s="213">
        <v>3034</v>
      </c>
      <c r="B30" s="214" t="s">
        <v>232</v>
      </c>
      <c r="C30" s="215" t="s">
        <v>414</v>
      </c>
      <c r="D30" s="216">
        <v>3935.5</v>
      </c>
      <c r="E30" s="216">
        <v>3935.5</v>
      </c>
      <c r="F30" s="216">
        <f t="shared" si="0"/>
        <v>0</v>
      </c>
      <c r="G30" s="216">
        <v>0</v>
      </c>
      <c r="H30" s="216">
        <v>0</v>
      </c>
      <c r="I30" s="216">
        <v>0</v>
      </c>
      <c r="J30" s="216">
        <v>0</v>
      </c>
      <c r="K30" s="216">
        <v>3935.5</v>
      </c>
      <c r="L30" s="217"/>
      <c r="M30" s="217">
        <v>0</v>
      </c>
      <c r="N30" s="221" t="s">
        <v>744</v>
      </c>
      <c r="O30" s="216" t="s">
        <v>68</v>
      </c>
      <c r="P30" s="218"/>
    </row>
    <row r="31" s="1" customFormat="1" ht="43.2" spans="1:16">
      <c r="A31" s="213">
        <v>3792</v>
      </c>
      <c r="B31" s="214" t="s">
        <v>237</v>
      </c>
      <c r="C31" s="215" t="s">
        <v>443</v>
      </c>
      <c r="D31" s="216">
        <v>125247.51</v>
      </c>
      <c r="E31" s="216">
        <v>125247.51</v>
      </c>
      <c r="F31" s="216">
        <f t="shared" si="0"/>
        <v>0</v>
      </c>
      <c r="G31" s="216">
        <v>0</v>
      </c>
      <c r="H31" s="216">
        <v>0</v>
      </c>
      <c r="I31" s="216">
        <v>0</v>
      </c>
      <c r="J31" s="216">
        <v>0</v>
      </c>
      <c r="K31" s="216">
        <v>125247.51</v>
      </c>
      <c r="L31" s="217"/>
      <c r="M31" s="217">
        <v>0</v>
      </c>
      <c r="N31" s="219" t="s">
        <v>745</v>
      </c>
      <c r="O31" s="216" t="s">
        <v>745</v>
      </c>
      <c r="P31" s="218"/>
    </row>
    <row r="32" s="1" customFormat="1" spans="1:16">
      <c r="A32" s="213">
        <v>4135</v>
      </c>
      <c r="B32" s="214" t="s">
        <v>232</v>
      </c>
      <c r="C32" s="215" t="s">
        <v>417</v>
      </c>
      <c r="D32" s="216">
        <v>8367</v>
      </c>
      <c r="E32" s="216">
        <v>8367</v>
      </c>
      <c r="F32" s="216">
        <f t="shared" si="0"/>
        <v>0</v>
      </c>
      <c r="G32" s="216">
        <v>0</v>
      </c>
      <c r="H32" s="216">
        <v>0</v>
      </c>
      <c r="I32" s="216">
        <v>0</v>
      </c>
      <c r="J32" s="216">
        <v>0</v>
      </c>
      <c r="K32" s="216">
        <v>8367</v>
      </c>
      <c r="L32" s="217"/>
      <c r="M32" s="217">
        <v>0</v>
      </c>
      <c r="N32" s="221" t="s">
        <v>744</v>
      </c>
      <c r="O32" s="216" t="s">
        <v>68</v>
      </c>
      <c r="P32" s="218"/>
    </row>
    <row r="33" s="1" customFormat="1" spans="1:16">
      <c r="A33" s="213">
        <v>4143</v>
      </c>
      <c r="B33" s="214" t="s">
        <v>305</v>
      </c>
      <c r="C33" s="215" t="s">
        <v>420</v>
      </c>
      <c r="D33" s="216">
        <v>24105.16</v>
      </c>
      <c r="E33" s="216">
        <v>25043.16</v>
      </c>
      <c r="F33" s="216">
        <f t="shared" si="0"/>
        <v>-938</v>
      </c>
      <c r="G33" s="216">
        <v>0</v>
      </c>
      <c r="H33" s="216">
        <v>0</v>
      </c>
      <c r="I33" s="216">
        <v>0</v>
      </c>
      <c r="J33" s="216">
        <v>0</v>
      </c>
      <c r="K33" s="216">
        <v>24105.16</v>
      </c>
      <c r="L33" s="217"/>
      <c r="M33" s="217">
        <v>10</v>
      </c>
      <c r="N33" s="219" t="s">
        <v>746</v>
      </c>
      <c r="O33" s="216" t="s">
        <v>746</v>
      </c>
      <c r="P33" s="218"/>
    </row>
    <row r="34" s="1" customFormat="1" spans="1:16">
      <c r="A34" s="213">
        <v>4169</v>
      </c>
      <c r="B34" s="214" t="s">
        <v>224</v>
      </c>
      <c r="C34" s="215" t="s">
        <v>423</v>
      </c>
      <c r="D34" s="216">
        <v>5850</v>
      </c>
      <c r="E34" s="216">
        <v>5850</v>
      </c>
      <c r="F34" s="216">
        <f t="shared" si="0"/>
        <v>0</v>
      </c>
      <c r="G34" s="216">
        <v>0</v>
      </c>
      <c r="H34" s="216">
        <v>0</v>
      </c>
      <c r="I34" s="216">
        <v>0</v>
      </c>
      <c r="J34" s="216">
        <v>0</v>
      </c>
      <c r="K34" s="216">
        <v>5850</v>
      </c>
      <c r="L34" s="217"/>
      <c r="M34" s="217">
        <v>0</v>
      </c>
      <c r="N34" s="221" t="s">
        <v>744</v>
      </c>
      <c r="O34" s="216" t="s">
        <v>68</v>
      </c>
      <c r="P34" s="218"/>
    </row>
    <row r="35" s="1" customFormat="1" spans="1:16">
      <c r="A35" s="213">
        <v>4554</v>
      </c>
      <c r="B35" s="214" t="s">
        <v>252</v>
      </c>
      <c r="C35" s="215" t="s">
        <v>426</v>
      </c>
      <c r="D35" s="216">
        <v>5580.04</v>
      </c>
      <c r="E35" s="216">
        <v>5580.04</v>
      </c>
      <c r="F35" s="216">
        <f t="shared" si="0"/>
        <v>0</v>
      </c>
      <c r="G35" s="216">
        <v>0</v>
      </c>
      <c r="H35" s="216">
        <v>0</v>
      </c>
      <c r="I35" s="216">
        <v>0</v>
      </c>
      <c r="J35" s="216">
        <v>0</v>
      </c>
      <c r="K35" s="216">
        <v>5580.04</v>
      </c>
      <c r="L35" s="217"/>
      <c r="M35" s="217">
        <v>0</v>
      </c>
      <c r="N35" s="221" t="s">
        <v>744</v>
      </c>
      <c r="O35" s="216" t="s">
        <v>68</v>
      </c>
      <c r="P35" s="218"/>
    </row>
    <row r="36" s="1" customFormat="1" spans="1:16">
      <c r="A36" s="213">
        <v>4574</v>
      </c>
      <c r="B36" s="214" t="s">
        <v>237</v>
      </c>
      <c r="C36" s="215" t="s">
        <v>429</v>
      </c>
      <c r="D36" s="216">
        <v>9536.85</v>
      </c>
      <c r="E36" s="216">
        <v>9536.85</v>
      </c>
      <c r="F36" s="216">
        <f t="shared" si="0"/>
        <v>0</v>
      </c>
      <c r="G36" s="216">
        <v>0</v>
      </c>
      <c r="H36" s="216">
        <v>0</v>
      </c>
      <c r="I36" s="216">
        <v>0</v>
      </c>
      <c r="J36" s="216">
        <v>187</v>
      </c>
      <c r="K36" s="216">
        <v>9349.85</v>
      </c>
      <c r="L36" s="217"/>
      <c r="M36" s="217">
        <v>0</v>
      </c>
      <c r="N36" s="218" t="s">
        <v>68</v>
      </c>
      <c r="O36" s="216" t="s">
        <v>68</v>
      </c>
      <c r="P36" s="218"/>
    </row>
    <row r="37" s="1" customFormat="1" ht="43.2" spans="1:16">
      <c r="A37" s="213">
        <v>4606</v>
      </c>
      <c r="B37" s="214" t="s">
        <v>237</v>
      </c>
      <c r="C37" s="215" t="s">
        <v>446</v>
      </c>
      <c r="D37" s="216">
        <v>95031.92</v>
      </c>
      <c r="E37" s="216">
        <v>95031.92</v>
      </c>
      <c r="F37" s="216">
        <f t="shared" si="0"/>
        <v>0</v>
      </c>
      <c r="G37" s="216">
        <v>0</v>
      </c>
      <c r="H37" s="216">
        <v>0</v>
      </c>
      <c r="I37" s="216">
        <v>0</v>
      </c>
      <c r="J37" s="216">
        <v>0</v>
      </c>
      <c r="K37" s="216">
        <v>95031.92</v>
      </c>
      <c r="L37" s="217"/>
      <c r="M37" s="217">
        <v>0</v>
      </c>
      <c r="N37" s="219" t="s">
        <v>745</v>
      </c>
      <c r="O37" s="216" t="s">
        <v>745</v>
      </c>
      <c r="P37" s="218"/>
    </row>
    <row r="38" s="1" customFormat="1" spans="1:16">
      <c r="A38" s="213">
        <v>4623</v>
      </c>
      <c r="B38" s="214" t="s">
        <v>232</v>
      </c>
      <c r="C38" s="215" t="s">
        <v>435</v>
      </c>
      <c r="D38" s="216">
        <v>3360</v>
      </c>
      <c r="E38" s="216">
        <v>3360</v>
      </c>
      <c r="F38" s="216">
        <f t="shared" si="0"/>
        <v>0</v>
      </c>
      <c r="G38" s="216">
        <v>0</v>
      </c>
      <c r="H38" s="216">
        <v>0</v>
      </c>
      <c r="I38" s="216">
        <v>0</v>
      </c>
      <c r="J38" s="216">
        <v>0</v>
      </c>
      <c r="K38" s="216">
        <v>3360</v>
      </c>
      <c r="L38" s="217"/>
      <c r="M38" s="217">
        <v>0</v>
      </c>
      <c r="N38" s="218" t="s">
        <v>68</v>
      </c>
      <c r="O38" s="216" t="s">
        <v>68</v>
      </c>
      <c r="P38" s="218"/>
    </row>
    <row r="39" s="1" customFormat="1" ht="43.2" spans="1:16">
      <c r="A39" s="213">
        <v>4646</v>
      </c>
      <c r="B39" s="214" t="s">
        <v>448</v>
      </c>
      <c r="C39" s="215" t="s">
        <v>450</v>
      </c>
      <c r="D39" s="216">
        <v>115291.93</v>
      </c>
      <c r="E39" s="216">
        <v>115291.93</v>
      </c>
      <c r="F39" s="216">
        <f t="shared" si="0"/>
        <v>0</v>
      </c>
      <c r="G39" s="216">
        <v>0</v>
      </c>
      <c r="H39" s="216">
        <v>0</v>
      </c>
      <c r="I39" s="216">
        <v>0</v>
      </c>
      <c r="J39" s="216">
        <v>0</v>
      </c>
      <c r="K39" s="216">
        <v>115291.93</v>
      </c>
      <c r="L39" s="217"/>
      <c r="M39" s="217">
        <v>0</v>
      </c>
      <c r="N39" s="219" t="s">
        <v>745</v>
      </c>
      <c r="O39" s="216" t="s">
        <v>745</v>
      </c>
      <c r="P39" s="218"/>
    </row>
    <row r="40" s="1" customFormat="1" ht="43.2" spans="1:16">
      <c r="A40" s="213">
        <v>4673</v>
      </c>
      <c r="B40" s="214" t="s">
        <v>237</v>
      </c>
      <c r="C40" s="215" t="s">
        <v>438</v>
      </c>
      <c r="D40" s="216">
        <v>111248.66</v>
      </c>
      <c r="E40" s="216">
        <v>111248.66</v>
      </c>
      <c r="F40" s="216">
        <f t="shared" si="0"/>
        <v>0</v>
      </c>
      <c r="G40" s="216">
        <v>0</v>
      </c>
      <c r="H40" s="216">
        <v>0</v>
      </c>
      <c r="I40" s="216">
        <v>0</v>
      </c>
      <c r="J40" s="216">
        <v>0</v>
      </c>
      <c r="K40" s="216">
        <v>111248.66</v>
      </c>
      <c r="L40" s="217"/>
      <c r="M40" s="217">
        <v>0</v>
      </c>
      <c r="N40" s="219" t="s">
        <v>745</v>
      </c>
      <c r="O40" s="216" t="s">
        <v>747</v>
      </c>
      <c r="P40" s="218"/>
    </row>
    <row r="41" s="1" customFormat="1" ht="28.8" spans="1:16">
      <c r="A41" s="213">
        <v>4699</v>
      </c>
      <c r="B41" s="214" t="s">
        <v>237</v>
      </c>
      <c r="C41" s="215" t="s">
        <v>681</v>
      </c>
      <c r="D41" s="216">
        <v>2688.96</v>
      </c>
      <c r="E41" s="216">
        <v>2688.96</v>
      </c>
      <c r="F41" s="216">
        <f t="shared" si="0"/>
        <v>0</v>
      </c>
      <c r="G41" s="216">
        <v>0</v>
      </c>
      <c r="H41" s="216">
        <v>0</v>
      </c>
      <c r="I41" s="216">
        <v>0</v>
      </c>
      <c r="J41" s="216">
        <v>0</v>
      </c>
      <c r="K41" s="216">
        <v>2688.96</v>
      </c>
      <c r="L41" s="217"/>
      <c r="M41" s="217">
        <v>0</v>
      </c>
      <c r="N41" s="48" t="s">
        <v>748</v>
      </c>
      <c r="O41" s="216" t="s">
        <v>749</v>
      </c>
      <c r="P41" s="218"/>
    </row>
    <row r="42" s="1" customFormat="1" spans="1:16">
      <c r="A42" s="213">
        <v>4707</v>
      </c>
      <c r="B42" s="214" t="s">
        <v>252</v>
      </c>
      <c r="C42" s="215" t="s">
        <v>440</v>
      </c>
      <c r="D42" s="216">
        <v>3051.02</v>
      </c>
      <c r="E42" s="216">
        <v>3051.02</v>
      </c>
      <c r="F42" s="216">
        <f t="shared" si="0"/>
        <v>0</v>
      </c>
      <c r="G42" s="216">
        <v>0</v>
      </c>
      <c r="H42" s="216">
        <v>0</v>
      </c>
      <c r="I42" s="216">
        <v>0</v>
      </c>
      <c r="J42" s="216">
        <v>0</v>
      </c>
      <c r="K42" s="216">
        <v>3051.02</v>
      </c>
      <c r="L42" s="217"/>
      <c r="M42" s="217">
        <v>0</v>
      </c>
      <c r="N42" s="218" t="s">
        <v>68</v>
      </c>
      <c r="O42" s="216" t="s">
        <v>68</v>
      </c>
      <c r="P42" s="218"/>
    </row>
    <row r="43" s="1" customFormat="1" ht="43.2" spans="1:16">
      <c r="A43" s="213">
        <v>4783</v>
      </c>
      <c r="B43" s="214" t="s">
        <v>448</v>
      </c>
      <c r="C43" s="215" t="s">
        <v>676</v>
      </c>
      <c r="D43" s="216">
        <v>9277.67</v>
      </c>
      <c r="E43" s="216">
        <v>9277.67</v>
      </c>
      <c r="F43" s="216">
        <f t="shared" si="0"/>
        <v>0</v>
      </c>
      <c r="G43" s="216">
        <v>0</v>
      </c>
      <c r="H43" s="216">
        <v>0</v>
      </c>
      <c r="I43" s="216">
        <v>0</v>
      </c>
      <c r="J43" s="216">
        <v>211.33</v>
      </c>
      <c r="K43" s="216">
        <v>9066.34</v>
      </c>
      <c r="L43" s="217"/>
      <c r="M43" s="217">
        <v>0</v>
      </c>
      <c r="N43" s="48" t="s">
        <v>750</v>
      </c>
      <c r="O43" s="216" t="s">
        <v>751</v>
      </c>
      <c r="P43" s="218"/>
    </row>
    <row r="44" s="1" customFormat="1" spans="1:16">
      <c r="A44" s="222"/>
      <c r="B44" s="223"/>
      <c r="C44" s="224"/>
      <c r="D44" s="57"/>
      <c r="E44" s="57"/>
      <c r="F44" s="57"/>
      <c r="G44" s="57"/>
      <c r="H44" s="57"/>
      <c r="I44" s="57"/>
      <c r="J44" s="57"/>
      <c r="K44" s="57"/>
      <c r="L44" s="225"/>
      <c r="M44" s="225"/>
      <c r="N44" s="85"/>
      <c r="O44" s="57"/>
      <c r="P44" s="85"/>
    </row>
    <row r="45" ht="7.9" customHeight="1" spans="1:16">
      <c r="P45" s="85"/>
    </row>
    <row r="46" ht="15.15" spans="1:16">
      <c r="D46" s="226">
        <f t="shared" ref="D46:M46" si="1">SUM(D10:D45)</f>
        <v>730943.02</v>
      </c>
      <c r="E46" s="226">
        <f t="shared" si="1"/>
        <v>592471.32</v>
      </c>
      <c r="F46" s="226">
        <f t="shared" si="1"/>
        <v>138471.7</v>
      </c>
      <c r="G46" s="226">
        <f t="shared" si="1"/>
        <v>184273.73</v>
      </c>
      <c r="H46" s="226">
        <f t="shared" si="1"/>
        <v>6549.6</v>
      </c>
      <c r="I46" s="226">
        <f t="shared" si="1"/>
        <v>2379.23</v>
      </c>
      <c r="J46" s="226">
        <f t="shared" si="1"/>
        <v>15210.59</v>
      </c>
      <c r="K46" s="226">
        <f t="shared" si="1"/>
        <v>522529.87</v>
      </c>
      <c r="L46" s="226">
        <f t="shared" si="1"/>
        <v>6843</v>
      </c>
      <c r="M46" s="226">
        <f t="shared" si="1"/>
        <v>3933</v>
      </c>
      <c r="N46" s="227"/>
      <c r="P46" s="85"/>
    </row>
    <row r="47" ht="15.15" spans="1:16">
      <c r="E47" s="29"/>
      <c r="P47" s="85"/>
    </row>
    <row r="48" spans="1:16">
      <c r="E48" s="29"/>
      <c r="P48" s="85"/>
    </row>
    <row r="49" spans="5:16">
      <c r="E49" s="214" t="s">
        <v>232</v>
      </c>
      <c r="F49" s="60" t="s">
        <v>752</v>
      </c>
      <c r="P49" s="85"/>
    </row>
    <row r="50" spans="5:16">
      <c r="E50" s="29"/>
      <c r="P50" s="85"/>
    </row>
    <row r="51" spans="5:16">
      <c r="E51" s="29"/>
      <c r="P51" s="85"/>
    </row>
    <row r="52" spans="5:16">
      <c r="E52" s="29"/>
      <c r="P52" s="85"/>
    </row>
    <row r="53" spans="5:16">
      <c r="E53" s="29"/>
      <c r="P53" s="85"/>
    </row>
    <row r="54" spans="5:16">
      <c r="P54" s="85"/>
    </row>
    <row r="55" spans="5:16">
      <c r="P55" s="85"/>
    </row>
    <row r="56" spans="5:16">
      <c r="P56" s="85"/>
    </row>
    <row r="57" spans="5:16">
      <c r="P57" s="85"/>
    </row>
    <row r="58" spans="5:16">
      <c r="P58" s="85"/>
    </row>
    <row r="59" spans="5:16">
      <c r="P59" s="85"/>
    </row>
    <row r="60" spans="5:16">
      <c r="P60" s="85"/>
    </row>
    <row r="61" spans="5:16">
      <c r="P61" s="85"/>
    </row>
    <row r="62" spans="5:16">
      <c r="P62" s="85"/>
    </row>
    <row r="63" spans="5:16">
      <c r="P63" s="85"/>
    </row>
    <row r="64" spans="5:16">
      <c r="P64" s="85"/>
    </row>
    <row r="65" spans="16:16">
      <c r="P65" s="85"/>
    </row>
    <row r="66" spans="16:16">
      <c r="P66" s="85"/>
    </row>
    <row r="67" spans="16:16">
      <c r="P67" s="85"/>
    </row>
    <row r="68" spans="16:16">
      <c r="P68" s="85"/>
    </row>
    <row r="69" spans="16:16">
      <c r="P69" s="85"/>
    </row>
    <row r="70" spans="16:16">
      <c r="P70" s="85"/>
    </row>
    <row r="71" spans="16:16">
      <c r="P71" s="85"/>
    </row>
    <row r="72" spans="16:16">
      <c r="P72" s="85"/>
    </row>
    <row r="73" spans="16:16">
      <c r="P73" s="85"/>
    </row>
    <row r="74" spans="16:16">
      <c r="P74" s="85"/>
    </row>
    <row r="75" spans="16:16">
      <c r="P75" s="85"/>
    </row>
    <row r="76" spans="16:16">
      <c r="P76" s="85"/>
    </row>
    <row r="77" spans="16:16">
      <c r="P77" s="85"/>
    </row>
    <row r="78" spans="16:16">
      <c r="P78" s="85"/>
    </row>
    <row r="79" spans="16:16">
      <c r="P79" s="85"/>
    </row>
    <row r="80" spans="16:16">
      <c r="P80" s="85"/>
    </row>
    <row r="81" spans="16:16">
      <c r="P81" s="85"/>
    </row>
    <row r="82" spans="16:16">
      <c r="P82" s="85"/>
    </row>
    <row r="83" spans="16:16">
      <c r="P83" s="85"/>
    </row>
    <row r="84" spans="16:16">
      <c r="P84" s="85"/>
    </row>
    <row r="85" spans="16:16">
      <c r="P85" s="85"/>
    </row>
    <row r="86" spans="16:16">
      <c r="P86" s="85"/>
    </row>
    <row r="87" spans="16:16">
      <c r="P87" s="85"/>
    </row>
    <row r="88" spans="16:16">
      <c r="P88" s="85"/>
    </row>
    <row r="89" spans="16:16">
      <c r="P89" s="85"/>
    </row>
    <row r="90" spans="16:16">
      <c r="P90" s="85"/>
    </row>
    <row r="91" spans="16:16">
      <c r="P91" s="85"/>
    </row>
    <row r="92" spans="16:16">
      <c r="P92" s="85"/>
    </row>
    <row r="93" spans="16:16">
      <c r="P93" s="85"/>
    </row>
    <row r="94" spans="16:16">
      <c r="P94" s="85"/>
    </row>
    <row r="95" spans="16:16">
      <c r="P95" s="85"/>
    </row>
    <row r="96" spans="16:16">
      <c r="P96" s="85"/>
    </row>
    <row r="97" spans="16:16">
      <c r="P97" s="85"/>
    </row>
    <row r="98" spans="16:16">
      <c r="P98" s="85"/>
    </row>
    <row r="99" spans="16:16">
      <c r="P99" s="85"/>
    </row>
    <row r="100" spans="16:16">
      <c r="P100" s="85"/>
    </row>
    <row r="101" spans="16:16">
      <c r="P101" s="85"/>
    </row>
    <row r="102" spans="16:16">
      <c r="P102" s="85"/>
    </row>
    <row r="103" spans="16:16">
      <c r="P103" s="85"/>
    </row>
    <row r="104" spans="16:16">
      <c r="P104" s="85"/>
    </row>
    <row r="105" spans="16:16">
      <c r="P105" s="85"/>
    </row>
    <row r="106" spans="16:16">
      <c r="P106" s="85"/>
    </row>
    <row r="107" spans="16:16">
      <c r="P107" s="85"/>
    </row>
    <row r="108" spans="16:16">
      <c r="P108" s="85"/>
    </row>
    <row r="109" spans="16:16">
      <c r="P109" s="85"/>
    </row>
    <row r="110" spans="16:16">
      <c r="P110" s="85"/>
    </row>
    <row r="111" spans="16:16">
      <c r="P111" s="85"/>
    </row>
    <row r="112" spans="16:16">
      <c r="P112" s="85"/>
    </row>
    <row r="113" spans="16:16">
      <c r="P113" s="85"/>
    </row>
    <row r="114" spans="16:16">
      <c r="P114" s="85"/>
    </row>
    <row r="115" spans="16:16">
      <c r="P115" s="85"/>
    </row>
    <row r="116" spans="16:16">
      <c r="P116" s="85"/>
    </row>
    <row r="117" spans="16:16">
      <c r="P117" s="85"/>
    </row>
    <row r="118" spans="16:16">
      <c r="P118" s="85"/>
    </row>
    <row r="119" spans="16:16">
      <c r="P119" s="85"/>
    </row>
    <row r="120" spans="16:16">
      <c r="P120" s="85"/>
    </row>
    <row r="121" spans="16:16">
      <c r="P121" s="85"/>
    </row>
    <row r="122" spans="16:16">
      <c r="P122" s="85"/>
    </row>
    <row r="123" spans="16:16">
      <c r="P123" s="85"/>
    </row>
    <row r="124" spans="16:16">
      <c r="P124" s="85"/>
    </row>
    <row r="125" spans="16:16">
      <c r="P125" s="85"/>
    </row>
    <row r="126" spans="16:16">
      <c r="P126" s="85"/>
    </row>
    <row r="127" spans="16:16">
      <c r="P127" s="85"/>
    </row>
    <row r="128" spans="16:16">
      <c r="P128" s="85"/>
    </row>
    <row r="129" spans="16:16">
      <c r="P129" s="85"/>
    </row>
    <row r="130" spans="16:16">
      <c r="P130" s="85"/>
    </row>
    <row r="131" spans="16:16">
      <c r="P131" s="85"/>
    </row>
    <row r="132" spans="16:16">
      <c r="P132" s="85"/>
    </row>
    <row r="133" spans="16:16">
      <c r="P133" s="85"/>
    </row>
    <row r="134" spans="16:16">
      <c r="P134" s="85"/>
    </row>
    <row r="135" spans="16:16">
      <c r="P135" s="85"/>
    </row>
    <row r="136" spans="16:16">
      <c r="P136" s="85"/>
    </row>
    <row r="137" spans="16:16">
      <c r="P137" s="85"/>
    </row>
    <row r="138" spans="16:16">
      <c r="P138" s="85"/>
    </row>
    <row r="139" spans="16:16">
      <c r="P139" s="85"/>
    </row>
    <row r="140" spans="16:16">
      <c r="P140" s="85"/>
    </row>
    <row r="141" spans="16:16">
      <c r="P141" s="85"/>
    </row>
    <row r="142" spans="16:16">
      <c r="P142" s="85"/>
    </row>
    <row r="143" spans="16:16">
      <c r="P143" s="85"/>
    </row>
    <row r="144" spans="16:16">
      <c r="P144" s="85"/>
    </row>
    <row r="145" spans="16:16">
      <c r="P145" s="85"/>
    </row>
    <row r="146" spans="16:16">
      <c r="P146" s="85"/>
    </row>
    <row r="147" spans="16:16">
      <c r="P147" s="85"/>
    </row>
    <row r="148" spans="16:16">
      <c r="P148" s="85"/>
    </row>
    <row r="149" spans="16:16">
      <c r="P149" s="85"/>
    </row>
    <row r="150" spans="16:16">
      <c r="P150" s="85"/>
    </row>
    <row r="151" spans="16:16">
      <c r="P151" s="85"/>
    </row>
    <row r="152" spans="16:16">
      <c r="P152" s="85"/>
    </row>
    <row r="153" spans="16:16">
      <c r="P153" s="85"/>
    </row>
    <row r="154" spans="16:16">
      <c r="P154" s="85"/>
    </row>
    <row r="155" spans="16:16">
      <c r="P155" s="85"/>
    </row>
    <row r="156" spans="16:16">
      <c r="P156" s="85"/>
    </row>
    <row r="157" spans="16:16">
      <c r="P157" s="85"/>
    </row>
    <row r="158" spans="16:16">
      <c r="P158" s="85"/>
    </row>
    <row r="159" spans="16:16">
      <c r="P159" s="85"/>
    </row>
    <row r="160" spans="16:16">
      <c r="P160" s="85"/>
    </row>
    <row r="161" spans="16:16">
      <c r="P161" s="85"/>
    </row>
    <row r="162" spans="16:16">
      <c r="P162" s="85"/>
    </row>
    <row r="163" spans="16:16">
      <c r="P163" s="85"/>
    </row>
    <row r="164" spans="16:16">
      <c r="P164" s="85"/>
    </row>
    <row r="165" spans="16:16">
      <c r="P165" s="85"/>
    </row>
    <row r="166" spans="16:16">
      <c r="P166" s="85"/>
    </row>
    <row r="167" spans="16:16">
      <c r="P167" s="85"/>
    </row>
    <row r="168" spans="16:16">
      <c r="P168" s="85"/>
    </row>
    <row r="169" spans="16:16">
      <c r="P169" s="85"/>
    </row>
    <row r="170" spans="16:16">
      <c r="P170" s="85"/>
    </row>
    <row r="171" spans="16:16">
      <c r="P171" s="85"/>
    </row>
    <row r="172" spans="16:16">
      <c r="P172" s="85"/>
    </row>
    <row r="173" spans="16:16">
      <c r="P173" s="85"/>
    </row>
    <row r="174" spans="16:16">
      <c r="P174" s="85"/>
    </row>
    <row r="175" spans="16:16">
      <c r="P175" s="85"/>
    </row>
    <row r="176" spans="16:16">
      <c r="P176" s="85"/>
    </row>
    <row r="177" spans="16:16">
      <c r="P177" s="85"/>
    </row>
    <row r="178" spans="16:16">
      <c r="P178" s="85"/>
    </row>
    <row r="179" spans="16:16">
      <c r="P179" s="85"/>
    </row>
    <row r="180" spans="16:16">
      <c r="P180" s="85"/>
    </row>
    <row r="181" spans="16:16">
      <c r="P181" s="85"/>
    </row>
    <row r="182" spans="16:16">
      <c r="P182" s="85"/>
    </row>
    <row r="183" spans="16:16">
      <c r="P183" s="85"/>
    </row>
    <row r="184" spans="16:16">
      <c r="P184" s="85"/>
    </row>
    <row r="185" spans="16:16">
      <c r="P185" s="85"/>
    </row>
    <row r="186" spans="16:16">
      <c r="P186" s="85"/>
    </row>
  </sheetData>
  <autoFilter xmlns:etc="http://www.wps.cn/officeDocument/2017/etCustomData" ref="A8:P43" etc:filterBottomFollowUsedRange="0">
    <sortState ref="A8:P43">
      <sortCondition ref="G8:G9" descending="1"/>
    </sortState>
    <extLst/>
  </autoFilter>
  <mergeCells count="19">
    <mergeCell ref="E1:I1"/>
    <mergeCell ref="G7:K7"/>
    <mergeCell ref="A8:A9"/>
    <mergeCell ref="B8:B9"/>
    <mergeCell ref="C1:C2"/>
    <mergeCell ref="C8:C9"/>
    <mergeCell ref="D8:D9"/>
    <mergeCell ref="E8:E9"/>
    <mergeCell ref="F8:F9"/>
    <mergeCell ref="G8:G9"/>
    <mergeCell ref="H8:H9"/>
    <mergeCell ref="I8:I9"/>
    <mergeCell ref="J8:J9"/>
    <mergeCell ref="K8:K9"/>
    <mergeCell ref="L8:L9"/>
    <mergeCell ref="M8:M9"/>
    <mergeCell ref="N8:N9"/>
    <mergeCell ref="O8:O9"/>
    <mergeCell ref="P8:P9"/>
  </mergeCells>
  <conditionalFormatting sqref="D5:I5">
    <cfRule type="cellIs" dxfId="0" priority="1" operator="lessThan">
      <formula>0</formula>
    </cfRule>
    <cfRule type="cellIs" dxfId="1" priority="2" operator="greaterThan">
      <formula>0</formula>
    </cfRule>
  </conditionalFormatting>
  <pageMargins left="0.7" right="0.7" top="0.75" bottom="0.75" header="0.3" footer="0.3"/>
  <pageSetup paperSize="1" orientation="portrait"/>
  <headerFooter>
    <oddFooter>&amp;L&amp;1#&amp;"Calibri"&amp;10&amp;K000000John Keells Group - Confidential</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499984740745262"/>
  </sheetPr>
  <dimension ref="A2:O47"/>
  <sheetViews>
    <sheetView view="pageBreakPreview" zoomScale="90" zoomScaleNormal="80" workbookViewId="0">
      <selection activeCell="A2" sqref="A2:O2"/>
    </sheetView>
  </sheetViews>
  <sheetFormatPr defaultColWidth="9" defaultRowHeight="14.4"/>
  <cols>
    <col min="1" max="1" width="21.75" customWidth="1"/>
    <col min="2" max="2" width="8.62962962962963" customWidth="1"/>
    <col min="3" max="5" width="14.75" customWidth="1"/>
    <col min="6" max="7" width="14.75" style="100" customWidth="1"/>
    <col min="8" max="12" width="14.75" customWidth="1"/>
    <col min="13" max="13" width="23" customWidth="1"/>
    <col min="14" max="14" width="20.25" customWidth="1"/>
    <col min="15" max="16" width="14.3703703703704" customWidth="1"/>
    <col min="17" max="17" width="21" customWidth="1"/>
  </cols>
  <sheetData>
    <row r="2" spans="1:15">
      <c r="A2" s="105" t="s">
        <v>17</v>
      </c>
      <c r="B2" s="106"/>
      <c r="C2" s="106"/>
      <c r="D2" s="106"/>
      <c r="E2" s="106"/>
      <c r="F2" s="106"/>
      <c r="G2" s="106"/>
      <c r="H2" s="106"/>
      <c r="I2" s="106"/>
      <c r="J2" s="106"/>
      <c r="K2" s="106"/>
      <c r="L2" s="106"/>
      <c r="M2" s="106"/>
      <c r="N2" s="106"/>
      <c r="O2" s="106"/>
    </row>
    <row r="4" spans="1:15">
      <c r="C4" s="107" t="s">
        <v>18</v>
      </c>
      <c r="D4" s="107"/>
      <c r="E4" s="107"/>
      <c r="F4" s="108"/>
      <c r="G4" s="109" t="s">
        <v>19</v>
      </c>
      <c r="H4" s="110"/>
      <c r="I4" s="111"/>
      <c r="J4" s="109" t="s">
        <v>20</v>
      </c>
      <c r="K4" s="110"/>
      <c r="L4" s="111"/>
    </row>
    <row r="5" spans="1:15">
      <c r="A5" s="112" t="s">
        <v>21</v>
      </c>
      <c r="B5" s="112" t="s">
        <v>22</v>
      </c>
      <c r="C5" s="113">
        <v>43853</v>
      </c>
      <c r="D5" s="114" t="s">
        <v>23</v>
      </c>
      <c r="E5" s="114" t="s">
        <v>24</v>
      </c>
      <c r="F5" s="114" t="s">
        <v>25</v>
      </c>
      <c r="G5" s="113">
        <v>43853</v>
      </c>
      <c r="H5" s="114" t="s">
        <v>26</v>
      </c>
      <c r="I5" s="114" t="s">
        <v>27</v>
      </c>
      <c r="J5" s="113">
        <v>43853</v>
      </c>
      <c r="K5" s="114" t="s">
        <v>26</v>
      </c>
      <c r="L5" s="114" t="s">
        <v>27</v>
      </c>
      <c r="M5" s="112" t="s">
        <v>28</v>
      </c>
      <c r="N5" s="112"/>
    </row>
    <row r="6" spans="1:15">
      <c r="A6" s="183" t="s">
        <v>753</v>
      </c>
      <c r="B6" s="155">
        <v>7251</v>
      </c>
      <c r="C6" s="122">
        <v>2300</v>
      </c>
      <c r="D6" s="184">
        <v>2300</v>
      </c>
      <c r="E6" s="184">
        <v>0</v>
      </c>
      <c r="F6" s="185">
        <f>E6-D6</f>
        <v>-2300</v>
      </c>
      <c r="G6" s="121"/>
      <c r="H6" s="120"/>
      <c r="I6" s="20"/>
      <c r="J6" s="20"/>
      <c r="K6" s="186"/>
      <c r="L6" s="186"/>
      <c r="M6" s="187" t="s">
        <v>754</v>
      </c>
      <c r="N6" s="187"/>
    </row>
    <row r="7" spans="1:15">
      <c r="A7" s="183" t="s">
        <v>755</v>
      </c>
      <c r="B7" s="155">
        <v>2335</v>
      </c>
      <c r="C7" s="122">
        <v>3167</v>
      </c>
      <c r="D7" s="184">
        <v>2110.6</v>
      </c>
      <c r="E7" s="184">
        <v>0</v>
      </c>
      <c r="F7" s="185">
        <f t="shared" ref="F7:F8" si="0">E7-D7</f>
        <v>-2110.6</v>
      </c>
      <c r="G7" s="121"/>
      <c r="H7" s="120"/>
      <c r="I7" s="20"/>
      <c r="J7" s="20">
        <v>40</v>
      </c>
      <c r="K7" s="186">
        <v>16</v>
      </c>
      <c r="L7" s="186" t="s">
        <v>88</v>
      </c>
      <c r="M7" s="187" t="s">
        <v>756</v>
      </c>
      <c r="N7" s="187"/>
    </row>
    <row r="8" spans="1:15">
      <c r="A8" s="183" t="s">
        <v>757</v>
      </c>
      <c r="B8" s="155">
        <v>137</v>
      </c>
      <c r="C8" s="122">
        <v>1575</v>
      </c>
      <c r="D8" s="184">
        <v>1575</v>
      </c>
      <c r="E8" s="184">
        <v>0</v>
      </c>
      <c r="F8" s="185">
        <f t="shared" si="0"/>
        <v>-1575</v>
      </c>
      <c r="G8" s="121"/>
      <c r="H8" s="120"/>
      <c r="I8" s="20"/>
      <c r="J8" s="20"/>
      <c r="K8" s="186"/>
      <c r="L8" s="186"/>
      <c r="M8" s="187" t="s">
        <v>754</v>
      </c>
      <c r="N8" s="187"/>
    </row>
    <row r="9" spans="1:15">
      <c r="F9" s="102"/>
      <c r="G9" s="102"/>
    </row>
    <row r="11" spans="1:15">
      <c r="A11" s="126" t="s">
        <v>58</v>
      </c>
      <c r="B11" s="106"/>
      <c r="C11" s="106"/>
      <c r="D11" s="106"/>
      <c r="E11" s="106"/>
      <c r="F11" s="106"/>
      <c r="G11" s="106"/>
      <c r="H11" s="106"/>
      <c r="I11" s="106"/>
      <c r="J11" s="106"/>
      <c r="K11" s="106"/>
      <c r="L11" s="106"/>
      <c r="M11" s="106"/>
      <c r="N11" s="106"/>
    </row>
    <row r="13" spans="1:15">
      <c r="C13" s="107" t="s">
        <v>18</v>
      </c>
      <c r="D13" s="107"/>
      <c r="E13" s="107"/>
      <c r="F13" s="108"/>
      <c r="G13" s="109" t="s">
        <v>19</v>
      </c>
      <c r="H13" s="110"/>
      <c r="I13" s="111"/>
      <c r="J13" s="109" t="s">
        <v>20</v>
      </c>
      <c r="K13" s="110"/>
      <c r="L13" s="111"/>
    </row>
    <row r="14" ht="15" customHeight="1" spans="1:15">
      <c r="A14" s="112" t="s">
        <v>21</v>
      </c>
      <c r="B14" s="112" t="s">
        <v>22</v>
      </c>
      <c r="C14" s="113">
        <v>43853</v>
      </c>
      <c r="D14" s="114" t="s">
        <v>23</v>
      </c>
      <c r="E14" s="114" t="s">
        <v>24</v>
      </c>
      <c r="F14" s="114" t="s">
        <v>25</v>
      </c>
      <c r="G14" s="113">
        <v>43853</v>
      </c>
      <c r="H14" s="114" t="s">
        <v>26</v>
      </c>
      <c r="I14" s="114" t="s">
        <v>27</v>
      </c>
      <c r="J14" s="113">
        <v>43853</v>
      </c>
      <c r="K14" s="114" t="s">
        <v>26</v>
      </c>
      <c r="L14" s="114" t="s">
        <v>27</v>
      </c>
      <c r="M14" s="112" t="s">
        <v>28</v>
      </c>
      <c r="N14" s="112"/>
      <c r="O14" s="127" t="s">
        <v>95</v>
      </c>
    </row>
    <row r="15" s="97" customFormat="1" ht="33.75" customHeight="1" spans="1:15">
      <c r="A15" s="188" t="s">
        <v>758</v>
      </c>
      <c r="B15" s="155">
        <v>6163</v>
      </c>
      <c r="C15" s="122">
        <v>116586.71</v>
      </c>
      <c r="D15" s="157">
        <v>103301.08</v>
      </c>
      <c r="E15" s="157">
        <v>100577.71</v>
      </c>
      <c r="F15" s="189">
        <f>E15-D15</f>
        <v>-2723.37</v>
      </c>
      <c r="G15" s="129"/>
      <c r="H15" s="120"/>
      <c r="I15" s="120"/>
      <c r="J15" s="120">
        <v>193</v>
      </c>
      <c r="K15" s="190">
        <v>323</v>
      </c>
      <c r="L15" s="190">
        <v>305</v>
      </c>
      <c r="M15" s="123" t="s">
        <v>759</v>
      </c>
      <c r="N15" s="124"/>
      <c r="O15" s="157">
        <v>62076.44</v>
      </c>
    </row>
    <row r="16" s="97" customFormat="1" ht="30.75" customHeight="1" spans="1:15">
      <c r="A16" s="188" t="s">
        <v>760</v>
      </c>
      <c r="B16" s="155">
        <v>6236</v>
      </c>
      <c r="C16" s="122">
        <v>37525.85</v>
      </c>
      <c r="D16" s="157">
        <v>27232.06</v>
      </c>
      <c r="E16" s="157">
        <v>24581.35</v>
      </c>
      <c r="F16" s="189">
        <f t="shared" ref="F16:F18" si="1">E16-D16</f>
        <v>-2650.71</v>
      </c>
      <c r="G16" s="129"/>
      <c r="H16" s="120"/>
      <c r="I16" s="120"/>
      <c r="J16" s="120"/>
      <c r="K16" s="190">
        <v>109</v>
      </c>
      <c r="L16" s="190">
        <v>99</v>
      </c>
      <c r="M16" s="123" t="s">
        <v>761</v>
      </c>
      <c r="N16" s="124"/>
      <c r="O16" s="157">
        <v>16633.46</v>
      </c>
    </row>
    <row r="17" s="97" customFormat="1" ht="21" customHeight="1" spans="1:15">
      <c r="A17" s="188" t="s">
        <v>762</v>
      </c>
      <c r="B17" s="155">
        <v>9231</v>
      </c>
      <c r="C17" s="122">
        <v>14753.9</v>
      </c>
      <c r="D17" s="157">
        <v>14791.42</v>
      </c>
      <c r="E17" s="157">
        <v>15413.9</v>
      </c>
      <c r="F17" s="191">
        <f t="shared" si="1"/>
        <v>622.48</v>
      </c>
      <c r="G17" s="129"/>
      <c r="H17" s="120"/>
      <c r="I17" s="120"/>
      <c r="J17" s="120"/>
      <c r="K17" s="186">
        <v>8</v>
      </c>
      <c r="L17" s="186"/>
      <c r="M17" s="192" t="s">
        <v>50</v>
      </c>
      <c r="N17" s="193"/>
      <c r="O17" s="157">
        <v>15413.9</v>
      </c>
    </row>
    <row r="18" s="97" customFormat="1" ht="21.75" customHeight="1" spans="1:15">
      <c r="A18" s="194" t="s">
        <v>763</v>
      </c>
      <c r="B18" s="195">
        <v>223</v>
      </c>
      <c r="C18" s="196">
        <v>11819.89</v>
      </c>
      <c r="D18" s="157">
        <v>11889.1</v>
      </c>
      <c r="E18" s="157">
        <v>12587.89</v>
      </c>
      <c r="F18" s="191">
        <f t="shared" si="1"/>
        <v>698.789999999999</v>
      </c>
      <c r="G18" s="129"/>
      <c r="H18" s="120"/>
      <c r="I18" s="120"/>
      <c r="J18" s="120"/>
      <c r="K18" s="186">
        <v>9</v>
      </c>
      <c r="L18" s="190">
        <v>7</v>
      </c>
      <c r="M18" s="192" t="s">
        <v>50</v>
      </c>
      <c r="N18" s="193"/>
      <c r="O18" s="157">
        <v>14374.12</v>
      </c>
    </row>
    <row r="19" ht="16.5" customHeight="1"/>
    <row r="20" spans="1:15">
      <c r="A20" s="105" t="s">
        <v>70</v>
      </c>
      <c r="B20" s="106"/>
      <c r="C20" s="106"/>
      <c r="D20" s="106"/>
      <c r="E20" s="106"/>
      <c r="F20" s="106"/>
      <c r="G20" s="106"/>
      <c r="H20" s="106"/>
      <c r="I20" s="106"/>
      <c r="J20" s="106"/>
      <c r="K20" s="106"/>
      <c r="L20" s="106"/>
      <c r="M20" s="106"/>
      <c r="N20" s="106"/>
    </row>
    <row r="21" spans="1:15">
      <c r="F21"/>
      <c r="G21"/>
    </row>
    <row r="22" spans="1:15">
      <c r="C22" s="197" t="s">
        <v>18</v>
      </c>
      <c r="D22" s="197"/>
      <c r="E22" s="197"/>
      <c r="F22" s="197"/>
      <c r="G22"/>
    </row>
    <row r="23" spans="1:15">
      <c r="A23" s="112" t="s">
        <v>21</v>
      </c>
      <c r="B23" s="112" t="s">
        <v>22</v>
      </c>
      <c r="C23" s="113">
        <v>43853</v>
      </c>
      <c r="D23" s="114" t="s">
        <v>23</v>
      </c>
      <c r="E23" s="114" t="s">
        <v>24</v>
      </c>
      <c r="F23" s="114" t="s">
        <v>25</v>
      </c>
      <c r="G23" s="151" t="s">
        <v>28</v>
      </c>
      <c r="H23" s="152"/>
      <c r="I23" s="152"/>
      <c r="J23" s="152"/>
      <c r="K23" s="152"/>
      <c r="L23" s="152"/>
      <c r="M23" s="152"/>
      <c r="N23" s="153"/>
      <c r="O23" s="127" t="s">
        <v>95</v>
      </c>
    </row>
    <row r="24" s="97" customFormat="1" ht="34.5" customHeight="1" spans="1:15">
      <c r="A24" s="154" t="s">
        <v>764</v>
      </c>
      <c r="B24" s="155">
        <v>151</v>
      </c>
      <c r="C24" s="122">
        <v>850102.37</v>
      </c>
      <c r="D24" s="157">
        <v>864272.37</v>
      </c>
      <c r="E24" s="157">
        <v>864272.37</v>
      </c>
      <c r="F24" s="189">
        <f>E24-D24</f>
        <v>0</v>
      </c>
      <c r="G24" s="123" t="s">
        <v>765</v>
      </c>
      <c r="H24" s="198"/>
      <c r="I24" s="198"/>
      <c r="J24" s="198"/>
      <c r="K24" s="198"/>
      <c r="L24" s="198"/>
      <c r="M24" s="198"/>
      <c r="N24" s="124"/>
      <c r="O24" s="157">
        <v>878479.19</v>
      </c>
    </row>
    <row r="25" s="97" customFormat="1" spans="1:15">
      <c r="A25" s="154" t="s">
        <v>766</v>
      </c>
      <c r="B25" s="155">
        <v>56</v>
      </c>
      <c r="C25" s="122">
        <v>675560.86</v>
      </c>
      <c r="D25" s="157">
        <v>676231.53</v>
      </c>
      <c r="E25" s="157">
        <v>688073.36</v>
      </c>
      <c r="F25" s="191">
        <f t="shared" ref="F25:F27" si="2">E25-D25</f>
        <v>11841.83</v>
      </c>
      <c r="G25" s="132" t="s">
        <v>50</v>
      </c>
      <c r="H25" s="199"/>
      <c r="I25" s="199"/>
      <c r="J25" s="199"/>
      <c r="K25" s="199"/>
      <c r="L25" s="199"/>
      <c r="M25" s="199"/>
      <c r="N25" s="133"/>
      <c r="O25" s="157">
        <v>718151.76</v>
      </c>
    </row>
    <row r="26" s="97" customFormat="1" ht="31.5" customHeight="1" spans="1:15">
      <c r="A26" s="154" t="s">
        <v>767</v>
      </c>
      <c r="B26" s="155">
        <v>95</v>
      </c>
      <c r="C26" s="122">
        <v>442044.18</v>
      </c>
      <c r="D26" s="157">
        <v>442044.18</v>
      </c>
      <c r="E26" s="157">
        <v>442044.18</v>
      </c>
      <c r="F26" s="189">
        <f t="shared" si="2"/>
        <v>0</v>
      </c>
      <c r="G26" s="123" t="s">
        <v>768</v>
      </c>
      <c r="H26" s="198"/>
      <c r="I26" s="198"/>
      <c r="J26" s="198"/>
      <c r="K26" s="198"/>
      <c r="L26" s="198"/>
      <c r="M26" s="198"/>
      <c r="N26" s="124"/>
      <c r="O26" s="157">
        <v>442044.18</v>
      </c>
    </row>
    <row r="27" s="97" customFormat="1" spans="1:15">
      <c r="A27" s="154" t="s">
        <v>769</v>
      </c>
      <c r="B27" s="155">
        <v>94</v>
      </c>
      <c r="C27" s="122">
        <v>65686</v>
      </c>
      <c r="D27" s="157">
        <v>71686</v>
      </c>
      <c r="E27" s="157">
        <v>77686</v>
      </c>
      <c r="F27" s="191">
        <f t="shared" si="2"/>
        <v>6000</v>
      </c>
      <c r="G27" s="192" t="s">
        <v>770</v>
      </c>
      <c r="H27" s="200"/>
      <c r="I27" s="200"/>
      <c r="J27" s="200"/>
      <c r="K27" s="200"/>
      <c r="L27" s="200"/>
      <c r="M27" s="200"/>
      <c r="N27" s="193"/>
      <c r="O27" s="157">
        <v>89686</v>
      </c>
    </row>
    <row r="33" s="97" customFormat="1" ht="30.75" customHeight="1"/>
    <row r="34" s="97" customFormat="1" ht="30" customHeight="1"/>
    <row r="36" s="97" customFormat="1" ht="29.25" customHeight="1"/>
    <row r="38" ht="28.5" customHeight="1"/>
    <row r="39" s="98" customFormat="1" ht="28.5" customHeight="1"/>
    <row r="40" hidden="1" spans="1:13">
      <c r="A40" s="163" t="s">
        <v>96</v>
      </c>
      <c r="B40" s="164">
        <v>106</v>
      </c>
      <c r="C40" s="164"/>
      <c r="D40" s="171">
        <v>330392.87</v>
      </c>
      <c r="E40" s="171">
        <v>189734</v>
      </c>
      <c r="F40" s="171">
        <v>37130</v>
      </c>
      <c r="G40" s="171"/>
      <c r="H40" s="171">
        <v>103528.87</v>
      </c>
      <c r="I40" s="171"/>
      <c r="J40" s="171"/>
      <c r="K40" s="201">
        <v>160000</v>
      </c>
      <c r="L40" s="179">
        <v>1339</v>
      </c>
      <c r="M40" s="182"/>
    </row>
    <row r="41" hidden="1" spans="1:13">
      <c r="A41" s="163" t="s">
        <v>101</v>
      </c>
      <c r="B41" s="164">
        <v>6597</v>
      </c>
      <c r="C41" s="164"/>
      <c r="D41" s="171">
        <v>238576.56</v>
      </c>
      <c r="E41" s="171">
        <v>1301.60000000001</v>
      </c>
      <c r="F41" s="171">
        <v>60428.53</v>
      </c>
      <c r="G41" s="171"/>
      <c r="H41" s="171">
        <v>13997.83</v>
      </c>
      <c r="I41" s="171">
        <v>162848.6</v>
      </c>
      <c r="J41" s="171"/>
      <c r="K41" s="579" t="s">
        <v>88</v>
      </c>
      <c r="L41" s="179">
        <v>236</v>
      </c>
      <c r="M41" s="182"/>
    </row>
    <row r="42" hidden="1" spans="1:13">
      <c r="A42" s="163" t="s">
        <v>105</v>
      </c>
      <c r="B42" s="164">
        <v>6610</v>
      </c>
      <c r="C42" s="164"/>
      <c r="D42" s="171">
        <v>121149.1</v>
      </c>
      <c r="E42" s="171">
        <v>0</v>
      </c>
      <c r="F42" s="171"/>
      <c r="G42" s="171"/>
      <c r="H42" s="171">
        <v>113.04</v>
      </c>
      <c r="I42" s="171">
        <v>121036.06</v>
      </c>
      <c r="J42" s="171"/>
      <c r="K42" s="579" t="s">
        <v>88</v>
      </c>
      <c r="L42" s="580" t="s">
        <v>88</v>
      </c>
      <c r="M42" s="182"/>
    </row>
    <row r="43" hidden="1" spans="1:13">
      <c r="A43" s="163" t="s">
        <v>42</v>
      </c>
      <c r="B43" s="164">
        <v>401</v>
      </c>
      <c r="C43" s="164"/>
      <c r="D43" s="171">
        <v>98919.48</v>
      </c>
      <c r="E43" s="171">
        <v>2811.55</v>
      </c>
      <c r="F43" s="171">
        <v>1722.36</v>
      </c>
      <c r="G43" s="171"/>
      <c r="H43" s="171">
        <v>3283.93</v>
      </c>
      <c r="I43" s="171">
        <v>91101.64</v>
      </c>
      <c r="J43" s="171"/>
      <c r="K43" s="579" t="s">
        <v>88</v>
      </c>
      <c r="L43" s="179">
        <v>413</v>
      </c>
      <c r="M43" s="182"/>
    </row>
    <row r="44" hidden="1" spans="1:13">
      <c r="A44" s="163" t="s">
        <v>107</v>
      </c>
      <c r="B44" s="164">
        <v>216</v>
      </c>
      <c r="C44" s="164"/>
      <c r="D44" s="171">
        <v>92851.44</v>
      </c>
      <c r="E44" s="171">
        <v>55793</v>
      </c>
      <c r="F44" s="171">
        <v>37058.44</v>
      </c>
      <c r="G44" s="171"/>
      <c r="H44" s="171"/>
      <c r="I44" s="171"/>
      <c r="J44" s="171"/>
      <c r="K44" s="201">
        <v>50000</v>
      </c>
      <c r="L44" s="179">
        <v>520</v>
      </c>
      <c r="M44" s="182"/>
    </row>
    <row r="45" hidden="1" spans="1:13">
      <c r="A45" s="163" t="s">
        <v>108</v>
      </c>
      <c r="B45" s="164">
        <v>285</v>
      </c>
      <c r="C45" s="164"/>
      <c r="D45" s="171">
        <v>86053.14</v>
      </c>
      <c r="E45" s="171">
        <v>84460</v>
      </c>
      <c r="F45" s="171">
        <v>1593.14</v>
      </c>
      <c r="G45" s="171"/>
      <c r="H45" s="171"/>
      <c r="I45" s="171"/>
      <c r="J45" s="171"/>
      <c r="K45" s="201">
        <v>65000</v>
      </c>
      <c r="L45" s="179">
        <v>811</v>
      </c>
      <c r="M45" s="182"/>
    </row>
    <row r="46" hidden="1" spans="1:13">
      <c r="A46" s="163" t="s">
        <v>103</v>
      </c>
      <c r="B46" s="164">
        <v>317</v>
      </c>
      <c r="C46" s="164"/>
      <c r="D46" s="171">
        <v>51942.34</v>
      </c>
      <c r="E46" s="179">
        <v>39754.45</v>
      </c>
      <c r="F46" s="179">
        <v>12187.89</v>
      </c>
      <c r="G46" s="179"/>
      <c r="H46" s="179"/>
      <c r="I46" s="179"/>
      <c r="J46" s="179"/>
      <c r="K46" s="581" t="s">
        <v>88</v>
      </c>
      <c r="L46" s="179">
        <v>467</v>
      </c>
      <c r="M46" s="182"/>
    </row>
    <row r="47" hidden="1" spans="1:13">
      <c r="A47" s="163" t="s">
        <v>132</v>
      </c>
      <c r="B47" s="164">
        <v>1</v>
      </c>
      <c r="C47" s="164"/>
      <c r="D47" s="171">
        <v>51481.78</v>
      </c>
      <c r="E47" s="163">
        <v>44069.25</v>
      </c>
      <c r="F47" s="171">
        <v>7412.53</v>
      </c>
      <c r="G47" s="171"/>
      <c r="H47" s="163"/>
      <c r="I47" s="163"/>
      <c r="J47" s="163"/>
      <c r="K47" s="181">
        <v>35000</v>
      </c>
      <c r="L47" s="179">
        <v>655</v>
      </c>
      <c r="M47" s="182"/>
    </row>
  </sheetData>
  <mergeCells count="24">
    <mergeCell ref="A2:O2"/>
    <mergeCell ref="C4:F4"/>
    <mergeCell ref="G4:I4"/>
    <mergeCell ref="J4:L4"/>
    <mergeCell ref="M5:N5"/>
    <mergeCell ref="M6:N6"/>
    <mergeCell ref="M7:N7"/>
    <mergeCell ref="M8:N8"/>
    <mergeCell ref="A11:N11"/>
    <mergeCell ref="C13:F13"/>
    <mergeCell ref="G13:I13"/>
    <mergeCell ref="J13:L13"/>
    <mergeCell ref="M14:N14"/>
    <mergeCell ref="M15:N15"/>
    <mergeCell ref="M16:N16"/>
    <mergeCell ref="M17:N17"/>
    <mergeCell ref="M18:N18"/>
    <mergeCell ref="A20:N20"/>
    <mergeCell ref="C22:F22"/>
    <mergeCell ref="G23:N23"/>
    <mergeCell ref="G24:N24"/>
    <mergeCell ref="G25:N25"/>
    <mergeCell ref="G26:N26"/>
    <mergeCell ref="G27:N27"/>
  </mergeCells>
  <pageMargins left="0.7" right="0.7" top="0.75" bottom="0.75" header="0.3" footer="0.3"/>
  <pageSetup paperSize="1" scale="38" orientation="portrait"/>
  <headerFooter>
    <oddFooter>&amp;L&amp;1#&amp;"Calibri"&amp;10&amp;K000000John Keells Group - Confidential</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sheetPr>
  <dimension ref="A1:Q52"/>
  <sheetViews>
    <sheetView view="pageBreakPreview" zoomScale="80" zoomScaleNormal="80" workbookViewId="0">
      <selection activeCell="A2" sqref="A2"/>
    </sheetView>
  </sheetViews>
  <sheetFormatPr defaultColWidth="9" defaultRowHeight="14.4"/>
  <cols>
    <col min="1" max="1" width="21.75" customWidth="1"/>
    <col min="2" max="2" width="8.62962962962963" customWidth="1"/>
    <col min="3" max="3" width="15.6296296296296" style="99" hidden="1" customWidth="1"/>
    <col min="4" max="4" width="15.6296296296296" style="99" customWidth="1"/>
    <col min="5" max="5" width="14" customWidth="1"/>
    <col min="6" max="6" width="14.25" customWidth="1"/>
    <col min="7" max="8" width="15.3703703703704" style="100" customWidth="1"/>
    <col min="9" max="9" width="16" customWidth="1"/>
    <col min="10" max="11" width="15.8796296296296" customWidth="1"/>
    <col min="12" max="12" width="17.6296296296296" customWidth="1"/>
    <col min="13" max="13" width="16" customWidth="1"/>
    <col min="14" max="14" width="23" customWidth="1"/>
    <col min="15" max="15" width="20.25" customWidth="1"/>
    <col min="16" max="17" width="14.3703703703704" customWidth="1"/>
    <col min="18" max="18" width="21" customWidth="1"/>
  </cols>
  <sheetData>
    <row r="1" ht="18" spans="1:15">
      <c r="A1" s="101" t="s">
        <v>771</v>
      </c>
      <c r="G1" s="102"/>
      <c r="H1" s="102"/>
    </row>
    <row r="2" ht="15.6" spans="1:15">
      <c r="A2" s="103" t="s">
        <v>772</v>
      </c>
      <c r="G2" s="102"/>
      <c r="H2" s="102"/>
    </row>
    <row r="3" spans="1:15">
      <c r="A3" s="104" t="s">
        <v>773</v>
      </c>
      <c r="G3" s="102"/>
      <c r="H3" s="102"/>
    </row>
    <row r="5" s="95" customFormat="1" spans="1:15">
      <c r="A5" s="105" t="s">
        <v>17</v>
      </c>
      <c r="B5" s="106"/>
      <c r="C5" s="106"/>
      <c r="D5" s="106"/>
      <c r="E5" s="106"/>
      <c r="F5" s="106"/>
      <c r="G5" s="106"/>
      <c r="H5" s="106"/>
      <c r="I5" s="106"/>
      <c r="J5" s="106"/>
      <c r="K5" s="106"/>
      <c r="L5" s="106"/>
      <c r="M5" s="106"/>
      <c r="N5" s="106"/>
      <c r="O5" s="106"/>
    </row>
    <row r="7" spans="1:15">
      <c r="D7" s="107" t="s">
        <v>18</v>
      </c>
      <c r="E7" s="107"/>
      <c r="F7" s="107"/>
      <c r="G7" s="108"/>
      <c r="H7" s="109" t="s">
        <v>19</v>
      </c>
      <c r="I7" s="110"/>
      <c r="J7" s="111"/>
      <c r="K7" s="109" t="s">
        <v>20</v>
      </c>
      <c r="L7" s="110"/>
      <c r="M7" s="111"/>
    </row>
    <row r="8" spans="1:15">
      <c r="A8" s="112" t="s">
        <v>21</v>
      </c>
      <c r="B8" s="112" t="s">
        <v>22</v>
      </c>
      <c r="C8" s="112" t="s">
        <v>774</v>
      </c>
      <c r="D8" s="113">
        <v>43853</v>
      </c>
      <c r="E8" s="114" t="s">
        <v>23</v>
      </c>
      <c r="F8" s="114" t="s">
        <v>24</v>
      </c>
      <c r="G8" s="114" t="s">
        <v>25</v>
      </c>
      <c r="H8" s="113">
        <v>43853</v>
      </c>
      <c r="I8" s="114" t="s">
        <v>26</v>
      </c>
      <c r="J8" s="114" t="s">
        <v>27</v>
      </c>
      <c r="K8" s="113">
        <v>43853</v>
      </c>
      <c r="L8" s="114" t="s">
        <v>26</v>
      </c>
      <c r="M8" s="114" t="s">
        <v>27</v>
      </c>
      <c r="N8" s="112" t="s">
        <v>28</v>
      </c>
      <c r="O8" s="115"/>
    </row>
    <row r="9" s="29" customFormat="1" spans="1:15">
      <c r="A9" s="116" t="s">
        <v>775</v>
      </c>
      <c r="B9" s="117">
        <v>14093</v>
      </c>
      <c r="C9" s="118" t="s">
        <v>776</v>
      </c>
      <c r="D9" s="119">
        <v>5979.75</v>
      </c>
      <c r="E9" s="120">
        <v>6459.53</v>
      </c>
      <c r="F9" s="120">
        <v>0</v>
      </c>
      <c r="G9" s="121">
        <f>F9-E9</f>
        <v>-6459.53</v>
      </c>
      <c r="H9" s="20">
        <v>0</v>
      </c>
      <c r="I9" s="20">
        <v>10000</v>
      </c>
      <c r="J9" s="20">
        <v>10000</v>
      </c>
      <c r="K9" s="20">
        <v>0</v>
      </c>
      <c r="L9" s="122">
        <v>46</v>
      </c>
      <c r="M9" s="122">
        <v>163</v>
      </c>
      <c r="N9" s="123" t="s">
        <v>30</v>
      </c>
      <c r="O9" s="124"/>
    </row>
    <row r="10" s="29" customFormat="1" spans="1:15">
      <c r="A10" s="116" t="s">
        <v>777</v>
      </c>
      <c r="B10" s="117">
        <v>13925</v>
      </c>
      <c r="C10" s="118" t="s">
        <v>776</v>
      </c>
      <c r="D10" s="119">
        <v>3359.75</v>
      </c>
      <c r="E10" s="120">
        <v>4147.43</v>
      </c>
      <c r="F10" s="120">
        <v>0</v>
      </c>
      <c r="G10" s="121">
        <f>F10-E10</f>
        <v>-4147.43</v>
      </c>
      <c r="H10" s="20">
        <v>0</v>
      </c>
      <c r="I10" s="20">
        <v>10000</v>
      </c>
      <c r="J10" s="20">
        <v>10000</v>
      </c>
      <c r="K10" s="20">
        <v>0</v>
      </c>
      <c r="L10" s="122">
        <v>76</v>
      </c>
      <c r="M10" s="122">
        <v>124</v>
      </c>
      <c r="N10" s="123" t="s">
        <v>30</v>
      </c>
      <c r="O10" s="124"/>
    </row>
    <row r="11" s="29" customFormat="1" spans="1:15">
      <c r="A11" s="116" t="s">
        <v>778</v>
      </c>
      <c r="B11" s="117">
        <v>13224</v>
      </c>
      <c r="C11" s="118" t="s">
        <v>776</v>
      </c>
      <c r="D11" s="119">
        <v>2063.5</v>
      </c>
      <c r="E11" s="120">
        <v>3256.16</v>
      </c>
      <c r="F11" s="120">
        <v>0</v>
      </c>
      <c r="G11" s="121">
        <f>F11-E11</f>
        <v>-3256.16</v>
      </c>
      <c r="H11" s="20">
        <v>0</v>
      </c>
      <c r="I11" s="20">
        <v>10000</v>
      </c>
      <c r="J11" s="20">
        <v>10000</v>
      </c>
      <c r="K11" s="20">
        <v>0</v>
      </c>
      <c r="L11" s="122">
        <v>87</v>
      </c>
      <c r="M11" s="122">
        <v>153</v>
      </c>
      <c r="N11" s="123" t="s">
        <v>30</v>
      </c>
      <c r="O11" s="124"/>
    </row>
    <row r="12" spans="1:15">
      <c r="N12" s="125"/>
      <c r="O12" s="125"/>
    </row>
    <row r="13" spans="1:15">
      <c r="N13" s="125"/>
      <c r="O13" s="125"/>
    </row>
    <row r="14" spans="1:15">
      <c r="A14" s="126" t="s">
        <v>58</v>
      </c>
      <c r="B14" s="106"/>
      <c r="C14" s="106"/>
      <c r="D14" s="106"/>
      <c r="E14" s="106"/>
      <c r="F14" s="106"/>
      <c r="G14" s="106"/>
      <c r="H14" s="106"/>
      <c r="I14" s="106"/>
      <c r="J14" s="106"/>
      <c r="K14" s="106"/>
      <c r="L14" s="106"/>
      <c r="M14" s="106"/>
      <c r="N14" s="106"/>
      <c r="O14" s="106"/>
    </row>
    <row r="16" spans="1:15">
      <c r="D16" s="107" t="s">
        <v>18</v>
      </c>
      <c r="E16" s="107"/>
      <c r="F16" s="107"/>
      <c r="G16" s="108"/>
      <c r="H16" s="109" t="s">
        <v>19</v>
      </c>
      <c r="I16" s="110"/>
      <c r="J16" s="111"/>
      <c r="K16" s="109" t="s">
        <v>20</v>
      </c>
      <c r="L16" s="110"/>
      <c r="M16" s="111"/>
    </row>
    <row r="17" spans="1:17">
      <c r="A17" s="112" t="s">
        <v>21</v>
      </c>
      <c r="B17" s="112" t="s">
        <v>22</v>
      </c>
      <c r="C17" s="112" t="s">
        <v>774</v>
      </c>
      <c r="D17" s="113">
        <v>43853</v>
      </c>
      <c r="E17" s="112" t="s">
        <v>23</v>
      </c>
      <c r="F17" s="112" t="s">
        <v>24</v>
      </c>
      <c r="G17" s="112" t="s">
        <v>25</v>
      </c>
      <c r="H17" s="113">
        <v>43853</v>
      </c>
      <c r="I17" s="112" t="s">
        <v>26</v>
      </c>
      <c r="J17" s="112" t="s">
        <v>27</v>
      </c>
      <c r="K17" s="113">
        <v>43853</v>
      </c>
      <c r="L17" s="112" t="s">
        <v>26</v>
      </c>
      <c r="M17" s="112" t="s">
        <v>27</v>
      </c>
      <c r="N17" s="112" t="s">
        <v>28</v>
      </c>
      <c r="O17" s="112"/>
      <c r="P17" s="127" t="s">
        <v>95</v>
      </c>
    </row>
    <row r="18" s="96" customFormat="1" ht="78" customHeight="1" spans="1:17">
      <c r="A18" s="128" t="s">
        <v>779</v>
      </c>
      <c r="B18" s="117">
        <v>13339</v>
      </c>
      <c r="C18" s="118"/>
      <c r="D18" s="119">
        <v>550496.07</v>
      </c>
      <c r="E18" s="120">
        <v>550496.07</v>
      </c>
      <c r="F18" s="120">
        <v>550496.07</v>
      </c>
      <c r="G18" s="121">
        <f t="shared" ref="G18:G23" si="0">F18-E18</f>
        <v>0</v>
      </c>
      <c r="H18" s="129"/>
      <c r="I18" s="120"/>
      <c r="J18" s="120"/>
      <c r="K18" s="120"/>
      <c r="L18" s="130"/>
      <c r="M18" s="130"/>
      <c r="N18" s="123" t="s">
        <v>780</v>
      </c>
      <c r="O18" s="124"/>
      <c r="P18" s="120">
        <v>550496.07</v>
      </c>
    </row>
    <row r="19" s="96" customFormat="1" ht="48.75" customHeight="1" spans="1:17">
      <c r="A19" s="128" t="s">
        <v>781</v>
      </c>
      <c r="B19" s="117">
        <v>13825</v>
      </c>
      <c r="C19" s="118"/>
      <c r="D19" s="119">
        <v>89489.21</v>
      </c>
      <c r="E19" s="120">
        <v>89489.21</v>
      </c>
      <c r="F19" s="120">
        <v>99489.21</v>
      </c>
      <c r="G19" s="131">
        <f t="shared" si="0"/>
        <v>10000</v>
      </c>
      <c r="H19" s="129"/>
      <c r="I19" s="120"/>
      <c r="J19" s="120"/>
      <c r="K19" s="120"/>
      <c r="L19" s="130"/>
      <c r="M19" s="130"/>
      <c r="N19" s="132" t="s">
        <v>782</v>
      </c>
      <c r="O19" s="133"/>
      <c r="P19" s="120">
        <v>109489.21</v>
      </c>
    </row>
    <row r="20" s="96" customFormat="1" ht="78" customHeight="1" spans="1:17">
      <c r="A20" s="128" t="s">
        <v>783</v>
      </c>
      <c r="B20" s="117">
        <v>13846</v>
      </c>
      <c r="C20" s="118"/>
      <c r="D20" s="119">
        <v>97251.55</v>
      </c>
      <c r="E20" s="120">
        <v>97251.55</v>
      </c>
      <c r="F20" s="120">
        <v>97251.55</v>
      </c>
      <c r="G20" s="121">
        <f t="shared" si="0"/>
        <v>0</v>
      </c>
      <c r="H20" s="129"/>
      <c r="I20" s="120"/>
      <c r="J20" s="120"/>
      <c r="K20" s="120"/>
      <c r="L20" s="134"/>
      <c r="M20" s="134"/>
      <c r="N20" s="123" t="s">
        <v>784</v>
      </c>
      <c r="O20" s="124"/>
      <c r="P20" s="120">
        <v>97251.55</v>
      </c>
    </row>
    <row r="21" s="96" customFormat="1" ht="45.75" customHeight="1" spans="1:17">
      <c r="A21" s="128" t="s">
        <v>785</v>
      </c>
      <c r="B21" s="117">
        <v>13038</v>
      </c>
      <c r="C21" s="118"/>
      <c r="D21" s="119">
        <v>73510.15</v>
      </c>
      <c r="E21" s="120">
        <v>73510.15</v>
      </c>
      <c r="F21" s="120">
        <v>74696.07</v>
      </c>
      <c r="G21" s="131">
        <f t="shared" si="0"/>
        <v>1185.92000000001</v>
      </c>
      <c r="H21" s="129"/>
      <c r="I21" s="120"/>
      <c r="J21" s="120"/>
      <c r="K21" s="120"/>
      <c r="L21" s="134">
        <v>15</v>
      </c>
      <c r="M21" s="134">
        <v>12</v>
      </c>
      <c r="N21" s="132" t="s">
        <v>786</v>
      </c>
      <c r="O21" s="133"/>
      <c r="P21" s="120">
        <v>75638.6</v>
      </c>
    </row>
    <row r="22" s="96" customFormat="1" ht="45" customHeight="1" spans="1:17">
      <c r="A22" s="128" t="s">
        <v>787</v>
      </c>
      <c r="B22" s="117">
        <v>13215</v>
      </c>
      <c r="C22" s="118"/>
      <c r="D22" s="119">
        <v>38092.95</v>
      </c>
      <c r="E22" s="120">
        <v>38092.95</v>
      </c>
      <c r="F22" s="120">
        <v>39268.05</v>
      </c>
      <c r="G22" s="131">
        <f t="shared" si="0"/>
        <v>1175.10000000001</v>
      </c>
      <c r="H22" s="135"/>
      <c r="I22" s="120"/>
      <c r="J22" s="120"/>
      <c r="K22" s="120"/>
      <c r="L22" s="130">
        <v>15</v>
      </c>
      <c r="M22" s="134">
        <v>5</v>
      </c>
      <c r="N22" s="132" t="s">
        <v>786</v>
      </c>
      <c r="O22" s="133"/>
      <c r="P22" s="120">
        <v>40398.15</v>
      </c>
    </row>
    <row r="23" s="96" customFormat="1" ht="48.75" customHeight="1" spans="1:17">
      <c r="A23" s="136" t="s">
        <v>788</v>
      </c>
      <c r="B23" s="137">
        <v>11621</v>
      </c>
      <c r="C23" s="138"/>
      <c r="D23" s="139">
        <v>39193.89</v>
      </c>
      <c r="E23" s="120">
        <v>39193.89</v>
      </c>
      <c r="F23" s="120">
        <v>34665.34</v>
      </c>
      <c r="G23" s="121">
        <f t="shared" si="0"/>
        <v>-4528.55</v>
      </c>
      <c r="H23" s="129"/>
      <c r="I23" s="120"/>
      <c r="J23" s="120"/>
      <c r="K23" s="120"/>
      <c r="L23" s="130"/>
      <c r="M23" s="130">
        <v>20</v>
      </c>
      <c r="N23" s="123" t="s">
        <v>789</v>
      </c>
      <c r="O23" s="124"/>
      <c r="P23" s="120">
        <v>24830.69</v>
      </c>
    </row>
    <row r="24" s="97" customFormat="1" ht="21.75" customHeight="1" spans="1:17">
      <c r="A24" s="140"/>
      <c r="B24" s="141"/>
      <c r="C24" s="142"/>
      <c r="D24" s="142"/>
      <c r="E24" s="143"/>
      <c r="F24" s="144"/>
      <c r="G24" s="145"/>
      <c r="H24" s="145"/>
      <c r="I24" s="146"/>
      <c r="J24" s="146"/>
      <c r="K24" s="146"/>
      <c r="L24" s="147"/>
      <c r="M24" s="147"/>
      <c r="N24" s="148"/>
      <c r="O24" s="148"/>
      <c r="P24" s="146"/>
      <c r="Q24" s="149"/>
    </row>
    <row r="25" spans="1:17">
      <c r="A25" s="105" t="s">
        <v>70</v>
      </c>
      <c r="B25" s="106"/>
      <c r="C25" s="106"/>
      <c r="D25" s="106"/>
      <c r="E25" s="106"/>
      <c r="F25" s="106"/>
      <c r="G25" s="106"/>
      <c r="H25" s="106"/>
      <c r="I25" s="106"/>
      <c r="J25" s="106"/>
      <c r="K25" s="106"/>
      <c r="L25" s="106"/>
      <c r="M25" s="106"/>
      <c r="N25" s="106"/>
      <c r="O25" s="106"/>
    </row>
    <row r="26" spans="1:17">
      <c r="G26"/>
      <c r="H26"/>
    </row>
    <row r="27" spans="1:17">
      <c r="D27" s="107" t="s">
        <v>18</v>
      </c>
      <c r="E27" s="107"/>
      <c r="F27" s="107"/>
      <c r="G27" s="107"/>
      <c r="H27"/>
    </row>
    <row r="28" ht="30" customHeight="1" spans="1:17">
      <c r="A28" s="112" t="s">
        <v>21</v>
      </c>
      <c r="B28" s="112" t="s">
        <v>22</v>
      </c>
      <c r="C28" s="112" t="s">
        <v>774</v>
      </c>
      <c r="D28" s="113">
        <v>43853</v>
      </c>
      <c r="E28" s="112" t="s">
        <v>23</v>
      </c>
      <c r="F28" s="112" t="s">
        <v>24</v>
      </c>
      <c r="G28" s="150" t="s">
        <v>25</v>
      </c>
      <c r="H28" s="151" t="s">
        <v>28</v>
      </c>
      <c r="I28" s="152"/>
      <c r="J28" s="152"/>
      <c r="K28" s="152"/>
      <c r="L28" s="152"/>
      <c r="M28" s="152"/>
      <c r="N28" s="152"/>
      <c r="O28" s="153"/>
      <c r="P28" s="127" t="s">
        <v>95</v>
      </c>
    </row>
    <row r="29" s="97" customFormat="1" ht="32.25" customHeight="1" spans="1:17">
      <c r="A29" s="154" t="s">
        <v>790</v>
      </c>
      <c r="B29" s="155">
        <v>13378</v>
      </c>
      <c r="C29" s="156"/>
      <c r="D29" s="119">
        <v>201321.5</v>
      </c>
      <c r="E29" s="157">
        <v>201321.5</v>
      </c>
      <c r="F29" s="157">
        <v>201321.5</v>
      </c>
      <c r="G29" s="158">
        <f>F29-E29</f>
        <v>0</v>
      </c>
      <c r="H29" s="159" t="s">
        <v>791</v>
      </c>
      <c r="I29" s="160"/>
      <c r="J29" s="160"/>
      <c r="K29" s="160"/>
      <c r="L29" s="160"/>
      <c r="M29" s="160"/>
      <c r="N29" s="160"/>
      <c r="O29" s="161"/>
      <c r="P29" s="157">
        <v>201321.5</v>
      </c>
    </row>
    <row r="30" s="97" customFormat="1" ht="32.25" customHeight="1" spans="1:17">
      <c r="A30" s="154" t="s">
        <v>792</v>
      </c>
      <c r="B30" s="155">
        <v>13613</v>
      </c>
      <c r="C30" s="156"/>
      <c r="D30" s="119">
        <v>113821.22</v>
      </c>
      <c r="E30" s="157">
        <v>113821.22</v>
      </c>
      <c r="F30" s="157">
        <v>113821.22</v>
      </c>
      <c r="G30" s="162">
        <f t="shared" ref="G30:G44" si="1">F30-E30</f>
        <v>0</v>
      </c>
      <c r="H30" s="159" t="s">
        <v>793</v>
      </c>
      <c r="I30" s="160"/>
      <c r="J30" s="160"/>
      <c r="K30" s="160"/>
      <c r="L30" s="160"/>
      <c r="M30" s="160"/>
      <c r="N30" s="160"/>
      <c r="O30" s="161"/>
      <c r="P30" s="157">
        <v>123821.22</v>
      </c>
    </row>
    <row r="31" s="97" customFormat="1" spans="1:17">
      <c r="A31" s="154" t="s">
        <v>794</v>
      </c>
      <c r="B31" s="155">
        <v>13508</v>
      </c>
      <c r="C31" s="156"/>
      <c r="D31" s="119">
        <v>118476.73</v>
      </c>
      <c r="E31" s="157">
        <v>118476.73</v>
      </c>
      <c r="F31" s="157">
        <v>118476.73</v>
      </c>
      <c r="G31" s="158">
        <f t="shared" si="1"/>
        <v>0</v>
      </c>
      <c r="H31" s="159" t="s">
        <v>795</v>
      </c>
      <c r="I31" s="160"/>
      <c r="J31" s="160"/>
      <c r="K31" s="160"/>
      <c r="L31" s="160"/>
      <c r="M31" s="160"/>
      <c r="N31" s="160"/>
      <c r="O31" s="161"/>
      <c r="P31" s="157">
        <v>118476.73</v>
      </c>
    </row>
    <row r="32" s="97" customFormat="1" spans="1:17">
      <c r="A32" s="154" t="s">
        <v>796</v>
      </c>
      <c r="B32" s="155">
        <v>13045</v>
      </c>
      <c r="C32" s="156"/>
      <c r="D32" s="119">
        <v>71288</v>
      </c>
      <c r="E32" s="157">
        <v>71288</v>
      </c>
      <c r="F32" s="157">
        <v>71288</v>
      </c>
      <c r="G32" s="158">
        <f t="shared" si="1"/>
        <v>0</v>
      </c>
      <c r="H32" s="159" t="s">
        <v>797</v>
      </c>
      <c r="I32" s="160"/>
      <c r="J32" s="160"/>
      <c r="K32" s="160"/>
      <c r="L32" s="160"/>
      <c r="M32" s="160"/>
      <c r="N32" s="160"/>
      <c r="O32" s="161"/>
      <c r="P32" s="157">
        <v>71288</v>
      </c>
    </row>
    <row r="33" ht="15" customHeight="1" spans="1:16">
      <c r="A33" s="163" t="s">
        <v>798</v>
      </c>
      <c r="B33" s="164">
        <v>13671</v>
      </c>
      <c r="D33" s="165">
        <v>68642</v>
      </c>
      <c r="E33" s="157">
        <v>68642</v>
      </c>
      <c r="F33" s="157">
        <v>68642</v>
      </c>
      <c r="G33" s="158">
        <f t="shared" si="1"/>
        <v>0</v>
      </c>
      <c r="H33" s="159" t="s">
        <v>795</v>
      </c>
      <c r="I33" s="160"/>
      <c r="J33" s="160"/>
      <c r="K33" s="160"/>
      <c r="L33" s="160"/>
      <c r="M33" s="160"/>
      <c r="N33" s="160"/>
      <c r="O33" s="161"/>
      <c r="P33" s="166">
        <v>68642</v>
      </c>
    </row>
    <row r="34" ht="15" customHeight="1" spans="1:16">
      <c r="A34" s="163" t="s">
        <v>799</v>
      </c>
      <c r="B34" s="164">
        <v>13097</v>
      </c>
      <c r="D34" s="165">
        <v>59656.69</v>
      </c>
      <c r="E34" s="157">
        <v>59656.69</v>
      </c>
      <c r="F34" s="157">
        <v>60266.1</v>
      </c>
      <c r="G34" s="158">
        <f t="shared" si="1"/>
        <v>609.409999999996</v>
      </c>
      <c r="H34" s="159" t="s">
        <v>800</v>
      </c>
      <c r="I34" s="160"/>
      <c r="J34" s="160"/>
      <c r="K34" s="160"/>
      <c r="L34" s="160"/>
      <c r="M34" s="160"/>
      <c r="N34" s="160"/>
      <c r="O34" s="161"/>
      <c r="P34" s="166">
        <v>60956.15</v>
      </c>
    </row>
    <row r="35" ht="15" customHeight="1" spans="1:16">
      <c r="A35" s="163" t="s">
        <v>801</v>
      </c>
      <c r="B35" s="164">
        <v>12899</v>
      </c>
      <c r="D35" s="165">
        <v>40423.9</v>
      </c>
      <c r="E35" s="157">
        <v>40423.9</v>
      </c>
      <c r="F35" s="157">
        <v>40423.9</v>
      </c>
      <c r="G35" s="158">
        <f t="shared" si="1"/>
        <v>0</v>
      </c>
      <c r="H35" s="159" t="s">
        <v>802</v>
      </c>
      <c r="I35" s="160"/>
      <c r="J35" s="160"/>
      <c r="K35" s="160"/>
      <c r="L35" s="160"/>
      <c r="M35" s="160"/>
      <c r="N35" s="160"/>
      <c r="O35" s="161"/>
      <c r="P35" s="166">
        <v>40423.9</v>
      </c>
    </row>
    <row r="36" ht="15" customHeight="1" spans="1:16">
      <c r="A36" s="163" t="s">
        <v>803</v>
      </c>
      <c r="B36" s="164">
        <v>11737</v>
      </c>
      <c r="D36" s="165">
        <v>33548.1</v>
      </c>
      <c r="E36" s="157">
        <v>33548.1</v>
      </c>
      <c r="F36" s="157">
        <v>33548.1</v>
      </c>
      <c r="G36" s="158">
        <f t="shared" si="1"/>
        <v>0</v>
      </c>
      <c r="H36" s="159" t="s">
        <v>804</v>
      </c>
      <c r="I36" s="160"/>
      <c r="J36" s="160"/>
      <c r="K36" s="160"/>
      <c r="L36" s="160"/>
      <c r="M36" s="160"/>
      <c r="N36" s="160"/>
      <c r="O36" s="161"/>
      <c r="P36" s="166">
        <v>33548.1</v>
      </c>
    </row>
    <row r="37" ht="15" customHeight="1" spans="1:16">
      <c r="A37" s="163" t="s">
        <v>805</v>
      </c>
      <c r="B37" s="164">
        <v>13286</v>
      </c>
      <c r="D37" s="165">
        <v>27749</v>
      </c>
      <c r="E37" s="157">
        <v>27749</v>
      </c>
      <c r="F37" s="157">
        <v>27749</v>
      </c>
      <c r="G37" s="158">
        <f t="shared" si="1"/>
        <v>0</v>
      </c>
      <c r="H37" s="159" t="s">
        <v>806</v>
      </c>
      <c r="I37" s="160"/>
      <c r="J37" s="160"/>
      <c r="K37" s="160"/>
      <c r="L37" s="160"/>
      <c r="M37" s="160"/>
      <c r="N37" s="160"/>
      <c r="O37" s="161"/>
      <c r="P37" s="166">
        <v>27749</v>
      </c>
    </row>
    <row r="38" s="97" customFormat="1" spans="1:16">
      <c r="A38" s="154" t="s">
        <v>807</v>
      </c>
      <c r="B38" s="155">
        <v>13247</v>
      </c>
      <c r="C38" s="98"/>
      <c r="D38" s="119">
        <v>23537.1</v>
      </c>
      <c r="E38" s="157">
        <v>23537.1</v>
      </c>
      <c r="F38" s="157">
        <v>23537.1</v>
      </c>
      <c r="G38" s="158">
        <f t="shared" si="1"/>
        <v>0</v>
      </c>
      <c r="H38" s="159" t="s">
        <v>808</v>
      </c>
      <c r="I38" s="160"/>
      <c r="J38" s="160"/>
      <c r="K38" s="160"/>
      <c r="L38" s="160"/>
      <c r="M38" s="160"/>
      <c r="N38" s="160"/>
      <c r="O38" s="161"/>
      <c r="P38" s="167">
        <v>23537.1</v>
      </c>
    </row>
    <row r="39" s="97" customFormat="1" ht="30" customHeight="1" spans="1:16">
      <c r="A39" s="154" t="s">
        <v>809</v>
      </c>
      <c r="B39" s="155">
        <v>12874</v>
      </c>
      <c r="C39" s="98"/>
      <c r="D39" s="119">
        <v>21341.41</v>
      </c>
      <c r="E39" s="157">
        <v>21341.41</v>
      </c>
      <c r="F39" s="157">
        <v>21341.41</v>
      </c>
      <c r="G39" s="158">
        <f t="shared" si="1"/>
        <v>0</v>
      </c>
      <c r="H39" s="159" t="s">
        <v>810</v>
      </c>
      <c r="I39" s="160"/>
      <c r="J39" s="160"/>
      <c r="K39" s="160"/>
      <c r="L39" s="160"/>
      <c r="M39" s="160"/>
      <c r="N39" s="160"/>
      <c r="O39" s="161"/>
      <c r="P39" s="167">
        <v>21341.41</v>
      </c>
    </row>
    <row r="40" ht="15" customHeight="1" spans="1:16">
      <c r="A40" s="163" t="s">
        <v>811</v>
      </c>
      <c r="B40" s="164">
        <v>13217</v>
      </c>
      <c r="D40" s="165">
        <v>20032</v>
      </c>
      <c r="E40" s="157">
        <v>20032</v>
      </c>
      <c r="F40" s="157">
        <v>20032</v>
      </c>
      <c r="G40" s="158">
        <f t="shared" si="1"/>
        <v>0</v>
      </c>
      <c r="H40" s="159" t="s">
        <v>812</v>
      </c>
      <c r="I40" s="160"/>
      <c r="J40" s="160"/>
      <c r="K40" s="160"/>
      <c r="L40" s="160"/>
      <c r="M40" s="160"/>
      <c r="N40" s="160"/>
      <c r="O40" s="161"/>
      <c r="P40" s="166">
        <v>20032</v>
      </c>
    </row>
    <row r="41" s="97" customFormat="1" ht="29.25" customHeight="1" spans="1:16">
      <c r="A41" s="154" t="s">
        <v>813</v>
      </c>
      <c r="B41" s="155">
        <v>13338</v>
      </c>
      <c r="C41" s="98"/>
      <c r="D41" s="119">
        <v>18730.85</v>
      </c>
      <c r="E41" s="157">
        <v>18730.85</v>
      </c>
      <c r="F41" s="157">
        <v>18730.85</v>
      </c>
      <c r="G41" s="158">
        <f t="shared" si="1"/>
        <v>0</v>
      </c>
      <c r="H41" s="159" t="s">
        <v>814</v>
      </c>
      <c r="I41" s="160"/>
      <c r="J41" s="160"/>
      <c r="K41" s="160"/>
      <c r="L41" s="160"/>
      <c r="M41" s="160"/>
      <c r="N41" s="160"/>
      <c r="O41" s="161"/>
      <c r="P41" s="167">
        <v>18730.85</v>
      </c>
    </row>
    <row r="42" ht="15" customHeight="1" spans="1:16">
      <c r="A42" s="163" t="s">
        <v>815</v>
      </c>
      <c r="B42" s="164">
        <v>13683</v>
      </c>
      <c r="D42" s="165">
        <v>16800.75</v>
      </c>
      <c r="E42" s="157">
        <v>16800.75</v>
      </c>
      <c r="F42" s="157">
        <v>16800.75</v>
      </c>
      <c r="G42" s="158">
        <f t="shared" si="1"/>
        <v>0</v>
      </c>
      <c r="H42" s="159" t="s">
        <v>816</v>
      </c>
      <c r="I42" s="160"/>
      <c r="J42" s="160"/>
      <c r="K42" s="160"/>
      <c r="L42" s="160"/>
      <c r="M42" s="160"/>
      <c r="N42" s="160"/>
      <c r="O42" s="161"/>
      <c r="P42" s="166">
        <v>18200.75</v>
      </c>
    </row>
    <row r="43" spans="1:16">
      <c r="A43" s="163" t="s">
        <v>817</v>
      </c>
      <c r="B43" s="164">
        <v>10306</v>
      </c>
      <c r="D43" s="165">
        <v>15628.15</v>
      </c>
      <c r="E43" s="157">
        <v>15628.15</v>
      </c>
      <c r="F43" s="157">
        <v>15628.15</v>
      </c>
      <c r="G43" s="158">
        <f t="shared" si="1"/>
        <v>0</v>
      </c>
      <c r="H43" s="159" t="s">
        <v>818</v>
      </c>
      <c r="I43" s="160"/>
      <c r="J43" s="160"/>
      <c r="K43" s="160"/>
      <c r="L43" s="160"/>
      <c r="M43" s="160"/>
      <c r="N43" s="160"/>
      <c r="O43" s="161"/>
      <c r="P43" s="166">
        <v>15628.15</v>
      </c>
    </row>
    <row r="44" s="98" customFormat="1" ht="28.5" customHeight="1" spans="1:16">
      <c r="A44" s="168" t="s">
        <v>819</v>
      </c>
      <c r="B44" s="155">
        <v>13608</v>
      </c>
      <c r="D44" s="119">
        <v>15039.5</v>
      </c>
      <c r="E44" s="157">
        <v>15039.5</v>
      </c>
      <c r="F44" s="157">
        <v>15039.5</v>
      </c>
      <c r="G44" s="158">
        <f t="shared" si="1"/>
        <v>0</v>
      </c>
      <c r="H44" s="159" t="s">
        <v>820</v>
      </c>
      <c r="I44" s="160"/>
      <c r="J44" s="160"/>
      <c r="K44" s="160"/>
      <c r="L44" s="160"/>
      <c r="M44" s="160"/>
      <c r="N44" s="160"/>
      <c r="O44" s="161"/>
      <c r="P44" s="169">
        <v>15039.5</v>
      </c>
    </row>
    <row r="45" hidden="1" spans="1:16">
      <c r="A45" s="163" t="s">
        <v>96</v>
      </c>
      <c r="B45" s="164">
        <v>106</v>
      </c>
      <c r="C45" s="170"/>
      <c r="D45" s="170"/>
      <c r="E45" s="171">
        <v>330392.87</v>
      </c>
      <c r="F45" s="171">
        <v>189734</v>
      </c>
      <c r="G45" s="172">
        <v>37130</v>
      </c>
      <c r="H45" s="172"/>
      <c r="I45" s="172">
        <v>103528.87</v>
      </c>
      <c r="J45" s="172"/>
      <c r="K45" s="172"/>
      <c r="L45" s="173">
        <v>160000</v>
      </c>
      <c r="M45" s="174">
        <v>1339</v>
      </c>
      <c r="N45" s="175"/>
      <c r="O45" s="176"/>
    </row>
    <row r="46" hidden="1" spans="1:16">
      <c r="A46" s="163" t="s">
        <v>101</v>
      </c>
      <c r="B46" s="164">
        <v>6597</v>
      </c>
      <c r="C46" s="170"/>
      <c r="D46" s="170"/>
      <c r="E46" s="171">
        <v>238576.56</v>
      </c>
      <c r="F46" s="171">
        <v>1301.60000000001</v>
      </c>
      <c r="G46" s="172">
        <v>60428.53</v>
      </c>
      <c r="H46" s="172"/>
      <c r="I46" s="172">
        <v>13997.83</v>
      </c>
      <c r="J46" s="172">
        <v>162848.6</v>
      </c>
      <c r="K46" s="172"/>
      <c r="L46" s="582" t="s">
        <v>88</v>
      </c>
      <c r="M46" s="174">
        <v>236</v>
      </c>
      <c r="N46" s="175"/>
      <c r="O46" s="176"/>
    </row>
    <row r="47" hidden="1" spans="1:16">
      <c r="A47" s="163" t="s">
        <v>105</v>
      </c>
      <c r="B47" s="164">
        <v>6610</v>
      </c>
      <c r="C47" s="170"/>
      <c r="D47" s="170"/>
      <c r="E47" s="171">
        <v>121149.1</v>
      </c>
      <c r="F47" s="171">
        <v>0</v>
      </c>
      <c r="G47" s="172"/>
      <c r="H47" s="172"/>
      <c r="I47" s="172">
        <v>113.04</v>
      </c>
      <c r="J47" s="172">
        <v>121036.06</v>
      </c>
      <c r="K47" s="172"/>
      <c r="L47" s="582" t="s">
        <v>88</v>
      </c>
      <c r="M47" s="583" t="s">
        <v>88</v>
      </c>
      <c r="N47" s="175"/>
      <c r="O47" s="176"/>
    </row>
    <row r="48" hidden="1" spans="1:16">
      <c r="A48" s="163" t="s">
        <v>42</v>
      </c>
      <c r="B48" s="164">
        <v>401</v>
      </c>
      <c r="C48" s="170"/>
      <c r="D48" s="170"/>
      <c r="E48" s="171">
        <v>98919.48</v>
      </c>
      <c r="F48" s="171">
        <v>2811.55</v>
      </c>
      <c r="G48" s="172">
        <v>1722.36</v>
      </c>
      <c r="H48" s="172"/>
      <c r="I48" s="172">
        <v>3283.93</v>
      </c>
      <c r="J48" s="172">
        <v>91101.64</v>
      </c>
      <c r="K48" s="172"/>
      <c r="L48" s="582" t="s">
        <v>88</v>
      </c>
      <c r="M48" s="174">
        <v>413</v>
      </c>
      <c r="N48" s="175"/>
      <c r="O48" s="176"/>
    </row>
    <row r="49" hidden="1" spans="1:15">
      <c r="A49" s="163" t="s">
        <v>107</v>
      </c>
      <c r="B49" s="164">
        <v>216</v>
      </c>
      <c r="C49" s="170"/>
      <c r="D49" s="170"/>
      <c r="E49" s="171">
        <v>92851.44</v>
      </c>
      <c r="F49" s="171">
        <v>55793</v>
      </c>
      <c r="G49" s="172">
        <v>37058.44</v>
      </c>
      <c r="H49" s="172"/>
      <c r="I49" s="172"/>
      <c r="J49" s="172"/>
      <c r="K49" s="172"/>
      <c r="L49" s="173">
        <v>50000</v>
      </c>
      <c r="M49" s="174">
        <v>520</v>
      </c>
      <c r="N49" s="175"/>
      <c r="O49" s="176"/>
    </row>
    <row r="50" hidden="1" spans="1:15">
      <c r="A50" s="163" t="s">
        <v>108</v>
      </c>
      <c r="B50" s="164">
        <v>285</v>
      </c>
      <c r="C50" s="170"/>
      <c r="D50" s="170"/>
      <c r="E50" s="171">
        <v>86053.14</v>
      </c>
      <c r="F50" s="171">
        <v>84460</v>
      </c>
      <c r="G50" s="172">
        <v>1593.14</v>
      </c>
      <c r="H50" s="172"/>
      <c r="I50" s="172"/>
      <c r="J50" s="172"/>
      <c r="K50" s="172"/>
      <c r="L50" s="173">
        <v>65000</v>
      </c>
      <c r="M50" s="174">
        <v>811</v>
      </c>
      <c r="N50" s="175"/>
      <c r="O50" s="176"/>
    </row>
    <row r="51" hidden="1" spans="1:15">
      <c r="A51" s="163" t="s">
        <v>103</v>
      </c>
      <c r="B51" s="164">
        <v>317</v>
      </c>
      <c r="C51" s="170"/>
      <c r="D51" s="170"/>
      <c r="E51" s="171">
        <v>51942.34</v>
      </c>
      <c r="F51" s="179">
        <v>39754.45</v>
      </c>
      <c r="G51" s="174">
        <v>12187.89</v>
      </c>
      <c r="H51" s="174"/>
      <c r="I51" s="174"/>
      <c r="J51" s="174"/>
      <c r="K51" s="174"/>
      <c r="L51" s="584" t="s">
        <v>88</v>
      </c>
      <c r="M51" s="174">
        <v>467</v>
      </c>
      <c r="N51" s="175"/>
      <c r="O51" s="176"/>
    </row>
    <row r="52" hidden="1" spans="1:15">
      <c r="A52" s="163" t="s">
        <v>132</v>
      </c>
      <c r="B52" s="164">
        <v>1</v>
      </c>
      <c r="C52" s="170"/>
      <c r="D52" s="170"/>
      <c r="E52" s="171">
        <v>51481.78</v>
      </c>
      <c r="F52" s="163">
        <v>44069.25</v>
      </c>
      <c r="G52" s="171">
        <v>7412.53</v>
      </c>
      <c r="H52" s="171"/>
      <c r="I52" s="163"/>
      <c r="J52" s="163"/>
      <c r="K52" s="163"/>
      <c r="L52" s="181">
        <v>35000</v>
      </c>
      <c r="M52" s="179">
        <v>655</v>
      </c>
      <c r="N52" s="182"/>
    </row>
  </sheetData>
  <mergeCells count="38">
    <mergeCell ref="A5:O5"/>
    <mergeCell ref="D7:G7"/>
    <mergeCell ref="H7:J7"/>
    <mergeCell ref="K7:M7"/>
    <mergeCell ref="N8:O8"/>
    <mergeCell ref="N9:O9"/>
    <mergeCell ref="N10:O10"/>
    <mergeCell ref="N11:O11"/>
    <mergeCell ref="A14:O14"/>
    <mergeCell ref="D16:G16"/>
    <mergeCell ref="H16:J16"/>
    <mergeCell ref="K16:M16"/>
    <mergeCell ref="N17:O17"/>
    <mergeCell ref="N18:O18"/>
    <mergeCell ref="N19:O19"/>
    <mergeCell ref="N20:O20"/>
    <mergeCell ref="N21:O21"/>
    <mergeCell ref="N22:O22"/>
    <mergeCell ref="N23:O23"/>
    <mergeCell ref="A25:O25"/>
    <mergeCell ref="D27:G27"/>
    <mergeCell ref="H28:O28"/>
    <mergeCell ref="H29:O29"/>
    <mergeCell ref="H30:O30"/>
    <mergeCell ref="H31:O31"/>
    <mergeCell ref="H32:O32"/>
    <mergeCell ref="H33:O33"/>
    <mergeCell ref="H34:O34"/>
    <mergeCell ref="H35:O35"/>
    <mergeCell ref="H36:O36"/>
    <mergeCell ref="H37:O37"/>
    <mergeCell ref="H38:O38"/>
    <mergeCell ref="H39:O39"/>
    <mergeCell ref="H40:O40"/>
    <mergeCell ref="H41:O41"/>
    <mergeCell ref="H42:O42"/>
    <mergeCell ref="H43:O43"/>
    <mergeCell ref="H44:O44"/>
  </mergeCells>
  <pageMargins left="0.7" right="0.7" top="0.75" bottom="0.75" header="0.3" footer="0.3"/>
  <pageSetup paperSize="1" scale="37" orientation="portrait"/>
  <headerFooter>
    <oddFooter>&amp;L&amp;1#&amp;"Calibri"&amp;10&amp;K000000John Keells Group - Confidential</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799432355723746"/>
  </sheetPr>
  <dimension ref="A1:P184"/>
  <sheetViews>
    <sheetView workbookViewId="0">
      <selection activeCell="F11" sqref="F11"/>
    </sheetView>
  </sheetViews>
  <sheetFormatPr defaultColWidth="9.12037037037037" defaultRowHeight="14.4"/>
  <cols>
    <col min="1" max="1" width="11.25" style="2" customWidth="1"/>
    <col min="2" max="2" width="11.8796296296296" style="2" hidden="1" customWidth="1"/>
    <col min="3" max="3" width="26.6296296296296" style="2" customWidth="1"/>
    <col min="4" max="4" width="14.1203703703704" style="60" customWidth="1"/>
    <col min="5" max="5" width="13.25" customWidth="1"/>
    <col min="6" max="6" width="14.1203703703704" style="60" customWidth="1"/>
    <col min="7" max="7" width="12.3703703703704" style="60" customWidth="1"/>
    <col min="8" max="8" width="13.3703703703704" style="60" customWidth="1"/>
    <col min="9" max="9" width="11.1203703703704" style="60" customWidth="1"/>
    <col min="10" max="10" width="11.75" style="60" customWidth="1"/>
    <col min="11" max="11" width="13.1203703703704" style="60" customWidth="1"/>
    <col min="12" max="12" width="11" style="2" customWidth="1"/>
    <col min="13" max="13" width="13" style="2" customWidth="1"/>
    <col min="14" max="14" width="53" style="2" customWidth="1"/>
    <col min="15" max="15" width="44.8796296296296" style="86" customWidth="1"/>
    <col min="16" max="16" width="16.3703703703704" style="2" customWidth="1"/>
    <col min="17" max="16384" width="9.12037037037037" style="2"/>
  </cols>
  <sheetData>
    <row r="1" spans="1:16">
      <c r="A1" s="27"/>
      <c r="C1" s="6" t="s">
        <v>133</v>
      </c>
      <c r="D1" s="7" t="s">
        <v>134</v>
      </c>
      <c r="E1" s="8" t="s">
        <v>135</v>
      </c>
      <c r="F1" s="8"/>
      <c r="G1" s="8"/>
      <c r="H1" s="8"/>
      <c r="I1" s="9"/>
      <c r="J1" s="61"/>
      <c r="K1" s="61"/>
    </row>
    <row r="2" spans="1:16">
      <c r="A2" s="27" t="s">
        <v>821</v>
      </c>
      <c r="C2" s="12"/>
      <c r="D2" s="62" t="s">
        <v>137</v>
      </c>
      <c r="E2" s="63" t="s">
        <v>138</v>
      </c>
      <c r="F2" s="64" t="s">
        <v>139</v>
      </c>
      <c r="G2" s="64" t="s">
        <v>140</v>
      </c>
      <c r="H2" s="64" t="s">
        <v>141</v>
      </c>
      <c r="I2" s="65" t="s">
        <v>142</v>
      </c>
      <c r="J2" s="61"/>
      <c r="K2" s="61"/>
    </row>
    <row r="3" spans="1:16">
      <c r="A3" s="27"/>
      <c r="C3" s="578" t="s">
        <v>143</v>
      </c>
      <c r="D3" s="66">
        <v>1844793.08</v>
      </c>
      <c r="E3" s="67">
        <v>13228.66</v>
      </c>
      <c r="F3" s="67">
        <v>145.15</v>
      </c>
      <c r="G3" s="67">
        <v>0</v>
      </c>
      <c r="H3" s="67">
        <v>0</v>
      </c>
      <c r="I3" s="67">
        <v>1831419.27</v>
      </c>
      <c r="J3" s="61"/>
      <c r="K3" s="61"/>
    </row>
    <row r="4" spans="1:16">
      <c r="A4" s="27"/>
      <c r="C4" s="578" t="s">
        <v>144</v>
      </c>
      <c r="D4" s="18">
        <v>1864762.84</v>
      </c>
      <c r="E4" s="19">
        <v>5932.76</v>
      </c>
      <c r="F4" s="20">
        <v>98.81</v>
      </c>
      <c r="G4" s="20">
        <v>0</v>
      </c>
      <c r="H4" s="20">
        <v>0</v>
      </c>
      <c r="I4" s="21">
        <v>1858731.27</v>
      </c>
      <c r="J4" s="61"/>
      <c r="K4" s="61"/>
    </row>
    <row r="5" ht="15.15" spans="1:16">
      <c r="A5" s="27"/>
      <c r="C5" s="22" t="s">
        <v>145</v>
      </c>
      <c r="D5" s="23">
        <v>-19969.76</v>
      </c>
      <c r="E5" s="24">
        <v>7295.9</v>
      </c>
      <c r="F5" s="25">
        <v>46.34</v>
      </c>
      <c r="G5" s="25">
        <v>0</v>
      </c>
      <c r="H5" s="25">
        <v>0</v>
      </c>
      <c r="I5" s="26">
        <v>-27312</v>
      </c>
      <c r="J5" s="61"/>
      <c r="K5" s="61"/>
    </row>
    <row r="6" ht="15.15" spans="1:16">
      <c r="A6" s="27"/>
      <c r="B6" s="27"/>
      <c r="C6" s="27"/>
      <c r="D6" s="69"/>
      <c r="E6" s="2"/>
      <c r="F6" s="69"/>
      <c r="G6" s="69"/>
      <c r="H6" s="69"/>
      <c r="I6" s="69"/>
      <c r="J6" s="69"/>
      <c r="K6" s="69"/>
      <c r="L6" s="27"/>
      <c r="M6" s="27"/>
      <c r="O6" s="87"/>
    </row>
    <row r="7" ht="14.45" customHeight="1" spans="1:16">
      <c r="A7" s="27"/>
      <c r="B7" s="27"/>
      <c r="C7" s="27"/>
      <c r="D7" s="29"/>
      <c r="E7" s="29"/>
      <c r="F7" s="30"/>
      <c r="G7" s="31" t="s">
        <v>146</v>
      </c>
      <c r="H7" s="32"/>
      <c r="I7" s="32"/>
      <c r="J7" s="32"/>
      <c r="K7" s="33"/>
      <c r="L7" s="34"/>
      <c r="M7" s="34"/>
      <c r="N7" s="35"/>
    </row>
    <row r="8" ht="16.5" customHeight="1" spans="1:16">
      <c r="A8" s="36" t="s">
        <v>147</v>
      </c>
      <c r="B8" s="36" t="s">
        <v>148</v>
      </c>
      <c r="C8" s="36" t="s">
        <v>149</v>
      </c>
      <c r="D8" s="37" t="s">
        <v>150</v>
      </c>
      <c r="E8" s="37" t="s">
        <v>151</v>
      </c>
      <c r="F8" s="37" t="s">
        <v>152</v>
      </c>
      <c r="G8" s="37" t="s">
        <v>153</v>
      </c>
      <c r="H8" s="37" t="s">
        <v>154</v>
      </c>
      <c r="I8" s="37" t="s">
        <v>155</v>
      </c>
      <c r="J8" s="37" t="s">
        <v>156</v>
      </c>
      <c r="K8" s="37" t="s">
        <v>157</v>
      </c>
      <c r="L8" s="36" t="s">
        <v>158</v>
      </c>
      <c r="M8" s="36" t="s">
        <v>159</v>
      </c>
      <c r="N8" s="38" t="s">
        <v>160</v>
      </c>
      <c r="O8" s="39" t="s">
        <v>161</v>
      </c>
      <c r="P8" s="39" t="s">
        <v>162</v>
      </c>
    </row>
    <row r="9" ht="33" customHeight="1" spans="1:16">
      <c r="A9" s="36"/>
      <c r="B9" s="36"/>
      <c r="C9" s="36"/>
      <c r="D9" s="37"/>
      <c r="E9" s="37"/>
      <c r="F9" s="37"/>
      <c r="G9" s="37"/>
      <c r="H9" s="37"/>
      <c r="I9" s="37"/>
      <c r="J9" s="37"/>
      <c r="K9" s="37"/>
      <c r="L9" s="36"/>
      <c r="M9" s="36"/>
      <c r="N9" s="38"/>
      <c r="O9" s="41"/>
      <c r="P9" s="41"/>
    </row>
    <row r="10" s="1" customFormat="1" spans="1:16">
      <c r="A10" s="88">
        <v>56</v>
      </c>
      <c r="B10" s="89" t="s">
        <v>822</v>
      </c>
      <c r="C10" s="90" t="s">
        <v>766</v>
      </c>
      <c r="D10" s="91">
        <v>675560.86</v>
      </c>
      <c r="E10" s="91">
        <v>675560.86</v>
      </c>
      <c r="F10" s="91">
        <f t="shared" ref="F10:F28" si="0">D10-E10</f>
        <v>0</v>
      </c>
      <c r="G10" s="91"/>
      <c r="H10" s="91"/>
      <c r="I10" s="91"/>
      <c r="J10" s="91"/>
      <c r="K10" s="91">
        <v>675560.86</v>
      </c>
      <c r="L10" s="92"/>
      <c r="M10" s="92"/>
      <c r="N10" s="93" t="s">
        <v>823</v>
      </c>
      <c r="O10" s="94" t="s">
        <v>823</v>
      </c>
      <c r="P10" s="93">
        <v>0</v>
      </c>
    </row>
    <row r="11" s="1" customFormat="1" spans="1:16">
      <c r="A11" s="88">
        <v>151</v>
      </c>
      <c r="B11" s="89"/>
      <c r="C11" s="90" t="s">
        <v>824</v>
      </c>
      <c r="D11" s="91">
        <v>639684.65</v>
      </c>
      <c r="E11" s="91">
        <v>651996.65</v>
      </c>
      <c r="F11" s="91">
        <f t="shared" si="0"/>
        <v>-12312</v>
      </c>
      <c r="G11" s="91">
        <v>0</v>
      </c>
      <c r="H11" s="91"/>
      <c r="I11" s="91"/>
      <c r="J11" s="91"/>
      <c r="K11" s="91">
        <v>639684.65</v>
      </c>
      <c r="L11" s="92">
        <v>252</v>
      </c>
      <c r="M11" s="92">
        <v>144</v>
      </c>
      <c r="N11" s="93" t="s">
        <v>825</v>
      </c>
      <c r="O11" s="94" t="s">
        <v>825</v>
      </c>
      <c r="P11" s="93">
        <v>0</v>
      </c>
    </row>
    <row r="12" s="1" customFormat="1" spans="1:16">
      <c r="A12" s="88">
        <v>95</v>
      </c>
      <c r="B12" s="89"/>
      <c r="C12" s="90" t="s">
        <v>826</v>
      </c>
      <c r="D12" s="91">
        <v>367044.18</v>
      </c>
      <c r="E12" s="91">
        <v>382044.18</v>
      </c>
      <c r="F12" s="91">
        <f t="shared" si="0"/>
        <v>-15000</v>
      </c>
      <c r="G12" s="91"/>
      <c r="H12" s="91"/>
      <c r="I12" s="91"/>
      <c r="J12" s="91"/>
      <c r="K12" s="91">
        <v>367044.18</v>
      </c>
      <c r="L12" s="92"/>
      <c r="M12" s="92"/>
      <c r="N12" s="93" t="s">
        <v>827</v>
      </c>
      <c r="O12" s="94" t="s">
        <v>827</v>
      </c>
      <c r="P12" s="93">
        <v>0</v>
      </c>
    </row>
    <row r="13" s="1" customFormat="1" spans="1:16">
      <c r="A13" s="88">
        <v>94</v>
      </c>
      <c r="B13" s="89"/>
      <c r="C13" s="90" t="s">
        <v>769</v>
      </c>
      <c r="D13" s="91">
        <v>58186</v>
      </c>
      <c r="E13" s="91">
        <v>58186</v>
      </c>
      <c r="F13" s="91">
        <f t="shared" si="0"/>
        <v>0</v>
      </c>
      <c r="G13" s="91"/>
      <c r="H13" s="91"/>
      <c r="I13" s="91"/>
      <c r="J13" s="91"/>
      <c r="K13" s="91">
        <v>58186</v>
      </c>
      <c r="L13" s="92"/>
      <c r="M13" s="92"/>
      <c r="N13" s="93" t="s">
        <v>828</v>
      </c>
      <c r="O13" s="94" t="s">
        <v>828</v>
      </c>
      <c r="P13" s="93">
        <v>0</v>
      </c>
    </row>
    <row r="14" s="1" customFormat="1" spans="1:16">
      <c r="A14" s="88" t="s">
        <v>829</v>
      </c>
      <c r="B14" s="89"/>
      <c r="C14" s="90" t="s">
        <v>830</v>
      </c>
      <c r="D14" s="91">
        <f>E14-3000</f>
        <v>40932</v>
      </c>
      <c r="E14" s="91">
        <v>43932</v>
      </c>
      <c r="F14" s="91">
        <f t="shared" si="0"/>
        <v>-3000</v>
      </c>
      <c r="G14" s="91"/>
      <c r="H14" s="91"/>
      <c r="I14" s="91"/>
      <c r="J14" s="91"/>
      <c r="K14" s="91">
        <v>40932</v>
      </c>
      <c r="L14" s="92"/>
      <c r="M14" s="92"/>
      <c r="N14" s="93" t="s">
        <v>831</v>
      </c>
      <c r="O14" s="94">
        <v>0</v>
      </c>
      <c r="P14" s="93">
        <v>0</v>
      </c>
    </row>
    <row r="15" s="1" customFormat="1" spans="1:16">
      <c r="A15" s="88">
        <v>9231</v>
      </c>
      <c r="B15" s="89" t="s">
        <v>832</v>
      </c>
      <c r="C15" s="90" t="s">
        <v>762</v>
      </c>
      <c r="D15" s="91">
        <v>14753.6</v>
      </c>
      <c r="E15" s="91">
        <v>14753.6</v>
      </c>
      <c r="F15" s="91">
        <f t="shared" si="0"/>
        <v>0</v>
      </c>
      <c r="G15" s="91"/>
      <c r="H15" s="91"/>
      <c r="I15" s="91"/>
      <c r="J15" s="91"/>
      <c r="K15" s="91">
        <v>14753.6</v>
      </c>
      <c r="L15" s="92"/>
      <c r="M15" s="92"/>
      <c r="N15" s="93" t="s">
        <v>833</v>
      </c>
      <c r="O15" s="94" t="s">
        <v>833</v>
      </c>
      <c r="P15" s="93">
        <v>0</v>
      </c>
    </row>
    <row r="16" s="1" customFormat="1" spans="1:16">
      <c r="A16" s="88">
        <v>7220</v>
      </c>
      <c r="B16" s="89"/>
      <c r="C16" s="90" t="s">
        <v>834</v>
      </c>
      <c r="D16" s="91">
        <v>3892.66</v>
      </c>
      <c r="E16" s="91">
        <v>3892.66</v>
      </c>
      <c r="F16" s="91">
        <f t="shared" si="0"/>
        <v>0</v>
      </c>
      <c r="G16" s="91"/>
      <c r="H16" s="91"/>
      <c r="I16" s="91"/>
      <c r="J16" s="91"/>
      <c r="K16" s="91">
        <v>3892.66</v>
      </c>
      <c r="L16" s="92"/>
      <c r="M16" s="92"/>
      <c r="N16" s="93" t="s">
        <v>835</v>
      </c>
      <c r="O16" s="94" t="s">
        <v>835</v>
      </c>
      <c r="P16" s="93">
        <v>0</v>
      </c>
    </row>
    <row r="17" s="1" customFormat="1" spans="1:16">
      <c r="A17" s="88">
        <v>8002</v>
      </c>
      <c r="B17" s="89"/>
      <c r="C17" s="90" t="s">
        <v>836</v>
      </c>
      <c r="D17" s="91">
        <v>3765.81</v>
      </c>
      <c r="E17" s="91">
        <v>3765.81</v>
      </c>
      <c r="F17" s="91">
        <f t="shared" si="0"/>
        <v>0</v>
      </c>
      <c r="G17" s="91"/>
      <c r="H17" s="91"/>
      <c r="I17" s="91"/>
      <c r="J17" s="91"/>
      <c r="K17" s="91">
        <v>3765.81</v>
      </c>
      <c r="L17" s="92"/>
      <c r="M17" s="92"/>
      <c r="N17" s="93" t="s">
        <v>837</v>
      </c>
      <c r="O17" s="94" t="s">
        <v>837</v>
      </c>
      <c r="P17" s="93">
        <v>0</v>
      </c>
    </row>
    <row r="18" s="1" customFormat="1" spans="1:16">
      <c r="A18" s="88">
        <v>93</v>
      </c>
      <c r="B18" s="89"/>
      <c r="C18" s="90" t="s">
        <v>838</v>
      </c>
      <c r="D18" s="91">
        <v>2994.21</v>
      </c>
      <c r="E18" s="91">
        <v>2994.21</v>
      </c>
      <c r="F18" s="91">
        <f t="shared" si="0"/>
        <v>0</v>
      </c>
      <c r="G18" s="91"/>
      <c r="H18" s="91"/>
      <c r="I18" s="91"/>
      <c r="J18" s="91"/>
      <c r="K18" s="91">
        <v>2994.21</v>
      </c>
      <c r="L18" s="92"/>
      <c r="M18" s="92"/>
      <c r="N18" s="93" t="s">
        <v>839</v>
      </c>
      <c r="O18" s="94" t="s">
        <v>839</v>
      </c>
      <c r="P18" s="93">
        <v>0</v>
      </c>
    </row>
    <row r="19" s="1" customFormat="1" spans="1:16">
      <c r="A19" s="88">
        <v>8124</v>
      </c>
      <c r="B19" s="89"/>
      <c r="C19" s="90" t="s">
        <v>840</v>
      </c>
      <c r="D19" s="91">
        <v>2684.1</v>
      </c>
      <c r="E19" s="91">
        <v>2684.1</v>
      </c>
      <c r="F19" s="91">
        <f t="shared" si="0"/>
        <v>0</v>
      </c>
      <c r="G19" s="91"/>
      <c r="H19" s="91"/>
      <c r="I19" s="91"/>
      <c r="J19" s="91"/>
      <c r="K19" s="91">
        <v>2684.1</v>
      </c>
      <c r="L19" s="92"/>
      <c r="M19" s="92"/>
      <c r="N19" s="93" t="s">
        <v>837</v>
      </c>
      <c r="O19" s="94" t="s">
        <v>837</v>
      </c>
      <c r="P19" s="93">
        <v>0</v>
      </c>
    </row>
    <row r="20" s="1" customFormat="1" spans="1:16">
      <c r="A20" s="88">
        <v>9967</v>
      </c>
      <c r="B20" s="89"/>
      <c r="C20" s="90" t="s">
        <v>841</v>
      </c>
      <c r="D20" s="91">
        <v>952.01</v>
      </c>
      <c r="E20" s="91">
        <v>952.01</v>
      </c>
      <c r="F20" s="91">
        <f t="shared" si="0"/>
        <v>0</v>
      </c>
      <c r="G20" s="91"/>
      <c r="H20" s="91"/>
      <c r="I20" s="91"/>
      <c r="J20" s="91"/>
      <c r="K20" s="91">
        <v>952.01</v>
      </c>
      <c r="L20" s="92"/>
      <c r="M20" s="92"/>
      <c r="N20" s="93" t="s">
        <v>842</v>
      </c>
      <c r="O20" s="94" t="s">
        <v>842</v>
      </c>
      <c r="P20" s="93">
        <v>0</v>
      </c>
    </row>
    <row r="21" s="1" customFormat="1" spans="1:16">
      <c r="A21" s="88">
        <v>9958</v>
      </c>
      <c r="B21" s="89"/>
      <c r="C21" s="90" t="s">
        <v>843</v>
      </c>
      <c r="D21" s="91">
        <v>615.48</v>
      </c>
      <c r="E21" s="91">
        <v>615.48</v>
      </c>
      <c r="F21" s="91">
        <f t="shared" si="0"/>
        <v>0</v>
      </c>
      <c r="G21" s="91"/>
      <c r="H21" s="91"/>
      <c r="I21" s="91"/>
      <c r="J21" s="91"/>
      <c r="K21" s="91">
        <v>615.48</v>
      </c>
      <c r="L21" s="92"/>
      <c r="M21" s="92"/>
      <c r="N21" s="93" t="s">
        <v>842</v>
      </c>
      <c r="O21" s="94" t="s">
        <v>842</v>
      </c>
      <c r="P21" s="93">
        <v>0</v>
      </c>
    </row>
    <row r="22" s="1" customFormat="1" spans="1:16">
      <c r="A22" s="88">
        <v>9927</v>
      </c>
      <c r="B22" s="89"/>
      <c r="C22" s="90" t="s">
        <v>844</v>
      </c>
      <c r="D22" s="91">
        <v>615.48</v>
      </c>
      <c r="E22" s="91">
        <v>615.48</v>
      </c>
      <c r="F22" s="91">
        <f t="shared" si="0"/>
        <v>0</v>
      </c>
      <c r="G22" s="91"/>
      <c r="H22" s="91"/>
      <c r="I22" s="91"/>
      <c r="J22" s="91"/>
      <c r="K22" s="91">
        <v>615.48</v>
      </c>
      <c r="L22" s="92"/>
      <c r="M22" s="92"/>
      <c r="N22" s="93" t="s">
        <v>842</v>
      </c>
      <c r="O22" s="94" t="s">
        <v>842</v>
      </c>
      <c r="P22" s="93">
        <v>0</v>
      </c>
    </row>
    <row r="23" s="1" customFormat="1" spans="1:16">
      <c r="A23" s="88">
        <v>9712</v>
      </c>
      <c r="B23" s="89" t="s">
        <v>845</v>
      </c>
      <c r="C23" s="90" t="s">
        <v>846</v>
      </c>
      <c r="D23" s="91">
        <v>615.48</v>
      </c>
      <c r="E23" s="91">
        <v>615.48</v>
      </c>
      <c r="F23" s="91">
        <f t="shared" si="0"/>
        <v>0</v>
      </c>
      <c r="G23" s="91"/>
      <c r="H23" s="91"/>
      <c r="I23" s="91"/>
      <c r="J23" s="91"/>
      <c r="K23" s="91">
        <v>615.48</v>
      </c>
      <c r="L23" s="92"/>
      <c r="M23" s="92"/>
      <c r="N23" s="93" t="s">
        <v>842</v>
      </c>
      <c r="O23" s="94" t="s">
        <v>842</v>
      </c>
      <c r="P23" s="93">
        <v>0</v>
      </c>
    </row>
    <row r="24" s="1" customFormat="1" spans="1:16">
      <c r="A24" s="88">
        <v>5904</v>
      </c>
      <c r="B24" s="89"/>
      <c r="C24" s="90" t="s">
        <v>847</v>
      </c>
      <c r="D24" s="91">
        <v>4646.1</v>
      </c>
      <c r="E24" s="91">
        <v>0</v>
      </c>
      <c r="F24" s="91">
        <f t="shared" si="0"/>
        <v>4646.1</v>
      </c>
      <c r="G24" s="91">
        <v>4646.1</v>
      </c>
      <c r="H24" s="91"/>
      <c r="I24" s="91"/>
      <c r="J24" s="91"/>
      <c r="K24" s="91"/>
      <c r="L24" s="92"/>
      <c r="M24" s="92">
        <v>210</v>
      </c>
      <c r="N24" s="93" t="s">
        <v>848</v>
      </c>
      <c r="O24" s="94">
        <v>0</v>
      </c>
      <c r="P24" s="93">
        <v>253</v>
      </c>
    </row>
    <row r="25" s="1" customFormat="1" spans="1:16">
      <c r="A25" s="88">
        <v>4599</v>
      </c>
      <c r="B25" s="89"/>
      <c r="C25" s="90" t="s">
        <v>849</v>
      </c>
      <c r="D25" s="91">
        <v>3492.99</v>
      </c>
      <c r="E25" s="91">
        <v>0</v>
      </c>
      <c r="F25" s="91">
        <f t="shared" si="0"/>
        <v>3492.99</v>
      </c>
      <c r="G25" s="91">
        <v>3492.99</v>
      </c>
      <c r="H25" s="91"/>
      <c r="I25" s="91"/>
      <c r="J25" s="91"/>
      <c r="K25" s="91"/>
      <c r="L25" s="92"/>
      <c r="M25" s="92">
        <v>603</v>
      </c>
      <c r="N25" s="93" t="s">
        <v>850</v>
      </c>
      <c r="O25" s="94">
        <v>0</v>
      </c>
      <c r="P25" s="93">
        <v>325</v>
      </c>
    </row>
    <row r="26" s="1" customFormat="1" spans="1:16">
      <c r="A26" s="88">
        <v>4552</v>
      </c>
      <c r="B26" s="89" t="s">
        <v>851</v>
      </c>
      <c r="C26" s="90" t="s">
        <v>852</v>
      </c>
      <c r="D26" s="91">
        <v>2219.72</v>
      </c>
      <c r="E26" s="91">
        <v>724.2</v>
      </c>
      <c r="F26" s="91">
        <f t="shared" si="0"/>
        <v>1495.52</v>
      </c>
      <c r="G26" s="91">
        <v>2219.72</v>
      </c>
      <c r="H26" s="91"/>
      <c r="I26" s="91"/>
      <c r="J26" s="91"/>
      <c r="K26" s="91"/>
      <c r="L26" s="92">
        <v>148</v>
      </c>
      <c r="M26" s="92">
        <v>214</v>
      </c>
      <c r="N26" s="93" t="s">
        <v>850</v>
      </c>
      <c r="O26" s="94" t="s">
        <v>853</v>
      </c>
      <c r="P26" s="93">
        <v>66</v>
      </c>
    </row>
    <row r="27" s="1" customFormat="1" spans="1:16">
      <c r="A27" s="88">
        <v>1333</v>
      </c>
      <c r="B27" s="89" t="s">
        <v>854</v>
      </c>
      <c r="C27" s="90" t="s">
        <v>855</v>
      </c>
      <c r="D27" s="91">
        <v>885.36</v>
      </c>
      <c r="E27" s="91">
        <v>0</v>
      </c>
      <c r="F27" s="91">
        <f t="shared" si="0"/>
        <v>885.36</v>
      </c>
      <c r="G27" s="91">
        <v>885.36</v>
      </c>
      <c r="H27" s="91"/>
      <c r="I27" s="91"/>
      <c r="J27" s="91"/>
      <c r="K27" s="91"/>
      <c r="L27" s="92"/>
      <c r="M27" s="92">
        <v>26</v>
      </c>
      <c r="N27" s="93" t="s">
        <v>848</v>
      </c>
      <c r="O27" s="94">
        <v>0</v>
      </c>
      <c r="P27" s="93">
        <v>33</v>
      </c>
    </row>
    <row r="28" s="1" customFormat="1" spans="1:16">
      <c r="A28" s="88">
        <v>5327</v>
      </c>
      <c r="B28" s="89" t="s">
        <v>856</v>
      </c>
      <c r="C28" s="90" t="s">
        <v>857</v>
      </c>
      <c r="D28" s="91">
        <v>723.33</v>
      </c>
      <c r="E28" s="91">
        <v>487.15</v>
      </c>
      <c r="F28" s="91">
        <f t="shared" si="0"/>
        <v>236.18</v>
      </c>
      <c r="G28" s="91">
        <v>578.18</v>
      </c>
      <c r="H28" s="91">
        <v>145.15</v>
      </c>
      <c r="I28" s="91"/>
      <c r="J28" s="91"/>
      <c r="K28" s="91"/>
      <c r="L28" s="92">
        <v>6</v>
      </c>
      <c r="M28" s="92">
        <v>4</v>
      </c>
      <c r="N28" s="93" t="s">
        <v>850</v>
      </c>
      <c r="O28" s="94" t="s">
        <v>853</v>
      </c>
      <c r="P28" s="93">
        <v>5</v>
      </c>
    </row>
    <row r="30" spans="1:16">
      <c r="P30" s="85"/>
    </row>
    <row r="31" spans="1:16">
      <c r="P31" s="85"/>
    </row>
    <row r="32" spans="1:16">
      <c r="P32" s="85"/>
    </row>
    <row r="33" spans="16:16">
      <c r="P33" s="85"/>
    </row>
    <row r="34" spans="16:16">
      <c r="P34" s="85"/>
    </row>
    <row r="35" spans="16:16">
      <c r="P35" s="85"/>
    </row>
    <row r="36" spans="16:16">
      <c r="P36" s="85"/>
    </row>
    <row r="37" spans="16:16">
      <c r="P37" s="85"/>
    </row>
    <row r="38" spans="16:16">
      <c r="P38" s="85"/>
    </row>
    <row r="39" spans="16:16">
      <c r="P39" s="85"/>
    </row>
    <row r="40" spans="16:16">
      <c r="P40" s="85"/>
    </row>
    <row r="41" spans="16:16">
      <c r="P41" s="85"/>
    </row>
    <row r="42" spans="16:16">
      <c r="P42" s="85"/>
    </row>
    <row r="43" spans="16:16">
      <c r="P43" s="85"/>
    </row>
    <row r="44" spans="16:16">
      <c r="P44" s="85"/>
    </row>
    <row r="45" spans="16:16">
      <c r="P45" s="85"/>
    </row>
    <row r="46" spans="16:16">
      <c r="P46" s="85"/>
    </row>
    <row r="47" spans="16:16">
      <c r="P47" s="85"/>
    </row>
    <row r="48" spans="16:16">
      <c r="P48" s="85"/>
    </row>
    <row r="49" spans="16:16">
      <c r="P49" s="85"/>
    </row>
    <row r="50" spans="16:16">
      <c r="P50" s="85"/>
    </row>
    <row r="51" spans="16:16">
      <c r="P51" s="85"/>
    </row>
    <row r="52" spans="16:16">
      <c r="P52" s="85"/>
    </row>
    <row r="53" spans="16:16">
      <c r="P53" s="85"/>
    </row>
    <row r="54" spans="16:16">
      <c r="P54" s="85"/>
    </row>
    <row r="55" spans="16:16">
      <c r="P55" s="85"/>
    </row>
    <row r="56" spans="16:16">
      <c r="P56" s="85"/>
    </row>
    <row r="57" spans="16:16">
      <c r="P57" s="85"/>
    </row>
    <row r="58" spans="16:16">
      <c r="P58" s="85"/>
    </row>
    <row r="59" spans="16:16">
      <c r="P59" s="85"/>
    </row>
    <row r="60" spans="16:16">
      <c r="P60" s="85"/>
    </row>
    <row r="61" spans="16:16">
      <c r="P61" s="85"/>
    </row>
    <row r="62" spans="16:16">
      <c r="P62" s="85"/>
    </row>
    <row r="63" spans="16:16">
      <c r="P63" s="85"/>
    </row>
    <row r="64" spans="16:16">
      <c r="P64" s="85"/>
    </row>
    <row r="65" spans="16:16">
      <c r="P65" s="85"/>
    </row>
    <row r="66" spans="16:16">
      <c r="P66" s="85"/>
    </row>
    <row r="67" spans="16:16">
      <c r="P67" s="85"/>
    </row>
    <row r="68" spans="16:16">
      <c r="P68" s="85"/>
    </row>
    <row r="69" spans="16:16">
      <c r="P69" s="85"/>
    </row>
    <row r="70" spans="16:16">
      <c r="P70" s="85"/>
    </row>
    <row r="71" spans="16:16">
      <c r="P71" s="85"/>
    </row>
    <row r="72" spans="16:16">
      <c r="P72" s="85"/>
    </row>
    <row r="73" spans="16:16">
      <c r="P73" s="85"/>
    </row>
    <row r="74" spans="16:16">
      <c r="P74" s="85"/>
    </row>
    <row r="75" spans="16:16">
      <c r="P75" s="85"/>
    </row>
    <row r="76" spans="16:16">
      <c r="P76" s="85"/>
    </row>
    <row r="77" spans="16:16">
      <c r="P77" s="85"/>
    </row>
    <row r="78" spans="16:16">
      <c r="P78" s="85"/>
    </row>
    <row r="79" spans="16:16">
      <c r="P79" s="85"/>
    </row>
    <row r="80" spans="16:16">
      <c r="P80" s="85"/>
    </row>
    <row r="81" spans="16:16">
      <c r="P81" s="85"/>
    </row>
    <row r="82" spans="16:16">
      <c r="P82" s="85"/>
    </row>
    <row r="83" spans="16:16">
      <c r="P83" s="85"/>
    </row>
    <row r="84" spans="16:16">
      <c r="P84" s="85"/>
    </row>
    <row r="85" spans="16:16">
      <c r="P85" s="85"/>
    </row>
    <row r="86" spans="16:16">
      <c r="P86" s="85"/>
    </row>
    <row r="87" spans="16:16">
      <c r="P87" s="85"/>
    </row>
    <row r="88" spans="16:16">
      <c r="P88" s="85"/>
    </row>
    <row r="89" spans="16:16">
      <c r="P89" s="85"/>
    </row>
    <row r="90" spans="16:16">
      <c r="P90" s="85"/>
    </row>
    <row r="91" spans="16:16">
      <c r="P91" s="85"/>
    </row>
    <row r="92" spans="16:16">
      <c r="P92" s="85"/>
    </row>
    <row r="93" spans="16:16">
      <c r="P93" s="85"/>
    </row>
    <row r="94" spans="16:16">
      <c r="P94" s="85"/>
    </row>
    <row r="95" spans="16:16">
      <c r="P95" s="85"/>
    </row>
    <row r="96" spans="16:16">
      <c r="P96" s="85"/>
    </row>
    <row r="97" spans="16:16">
      <c r="P97" s="85"/>
    </row>
    <row r="98" spans="16:16">
      <c r="P98" s="85"/>
    </row>
    <row r="99" spans="16:16">
      <c r="P99" s="85"/>
    </row>
    <row r="100" spans="16:16">
      <c r="P100" s="85"/>
    </row>
    <row r="101" spans="16:16">
      <c r="P101" s="85"/>
    </row>
    <row r="102" spans="16:16">
      <c r="P102" s="85"/>
    </row>
    <row r="103" spans="16:16">
      <c r="P103" s="85"/>
    </row>
    <row r="104" spans="16:16">
      <c r="P104" s="85"/>
    </row>
    <row r="105" spans="16:16">
      <c r="P105" s="85"/>
    </row>
    <row r="106" spans="16:16">
      <c r="P106" s="85"/>
    </row>
    <row r="107" spans="16:16">
      <c r="P107" s="85"/>
    </row>
    <row r="108" spans="16:16">
      <c r="P108" s="85"/>
    </row>
    <row r="109" spans="16:16">
      <c r="P109" s="85"/>
    </row>
    <row r="110" spans="16:16">
      <c r="P110" s="85"/>
    </row>
    <row r="111" spans="16:16">
      <c r="P111" s="85"/>
    </row>
    <row r="112" spans="16:16">
      <c r="P112" s="85"/>
    </row>
    <row r="113" spans="16:16">
      <c r="P113" s="85"/>
    </row>
    <row r="114" spans="16:16">
      <c r="P114" s="85"/>
    </row>
    <row r="115" spans="16:16">
      <c r="P115" s="85"/>
    </row>
    <row r="116" spans="16:16">
      <c r="P116" s="85"/>
    </row>
    <row r="117" spans="16:16">
      <c r="P117" s="85"/>
    </row>
    <row r="118" spans="16:16">
      <c r="P118" s="85"/>
    </row>
    <row r="119" spans="16:16">
      <c r="P119" s="85"/>
    </row>
    <row r="120" spans="16:16">
      <c r="P120" s="85"/>
    </row>
    <row r="121" spans="16:16">
      <c r="P121" s="85"/>
    </row>
    <row r="122" spans="16:16">
      <c r="P122" s="85"/>
    </row>
    <row r="123" spans="16:16">
      <c r="P123" s="85"/>
    </row>
    <row r="124" spans="16:16">
      <c r="P124" s="85"/>
    </row>
    <row r="125" spans="16:16">
      <c r="P125" s="85"/>
    </row>
    <row r="126" spans="16:16">
      <c r="P126" s="85"/>
    </row>
    <row r="127" spans="16:16">
      <c r="P127" s="85"/>
    </row>
    <row r="128" spans="16:16">
      <c r="P128" s="85"/>
    </row>
    <row r="129" spans="16:16">
      <c r="P129" s="85"/>
    </row>
    <row r="130" spans="16:16">
      <c r="P130" s="85"/>
    </row>
    <row r="131" spans="16:16">
      <c r="P131" s="85"/>
    </row>
    <row r="132" spans="16:16">
      <c r="P132" s="85"/>
    </row>
    <row r="133" spans="16:16">
      <c r="P133" s="85"/>
    </row>
    <row r="134" spans="16:16">
      <c r="P134" s="85"/>
    </row>
    <row r="135" spans="16:16">
      <c r="P135" s="85"/>
    </row>
    <row r="136" spans="16:16">
      <c r="P136" s="85"/>
    </row>
    <row r="137" spans="16:16">
      <c r="P137" s="85"/>
    </row>
    <row r="138" spans="16:16">
      <c r="P138" s="85"/>
    </row>
    <row r="139" spans="16:16">
      <c r="P139" s="85"/>
    </row>
    <row r="140" spans="16:16">
      <c r="P140" s="85"/>
    </row>
    <row r="141" spans="16:16">
      <c r="P141" s="85"/>
    </row>
    <row r="142" spans="16:16">
      <c r="P142" s="85"/>
    </row>
    <row r="143" spans="16:16">
      <c r="P143" s="85"/>
    </row>
    <row r="144" spans="16:16">
      <c r="P144" s="85"/>
    </row>
    <row r="145" spans="16:16">
      <c r="P145" s="85"/>
    </row>
    <row r="146" spans="16:16">
      <c r="P146" s="85"/>
    </row>
    <row r="147" spans="16:16">
      <c r="P147" s="85"/>
    </row>
    <row r="148" spans="16:16">
      <c r="P148" s="85"/>
    </row>
    <row r="149" spans="16:16">
      <c r="P149" s="85"/>
    </row>
    <row r="150" spans="16:16">
      <c r="P150" s="85"/>
    </row>
    <row r="151" spans="16:16">
      <c r="P151" s="85"/>
    </row>
    <row r="152" spans="16:16">
      <c r="P152" s="85"/>
    </row>
    <row r="153" spans="16:16">
      <c r="P153" s="85"/>
    </row>
    <row r="154" spans="16:16">
      <c r="P154" s="85"/>
    </row>
    <row r="155" spans="16:16">
      <c r="P155" s="85"/>
    </row>
    <row r="156" spans="16:16">
      <c r="P156" s="85"/>
    </row>
    <row r="157" spans="16:16">
      <c r="P157" s="85"/>
    </row>
    <row r="158" spans="16:16">
      <c r="P158" s="85"/>
    </row>
    <row r="159" spans="16:16">
      <c r="P159" s="85"/>
    </row>
    <row r="160" spans="16:16">
      <c r="P160" s="85"/>
    </row>
    <row r="161" spans="16:16">
      <c r="P161" s="85"/>
    </row>
    <row r="162" spans="16:16">
      <c r="P162" s="85"/>
    </row>
    <row r="163" spans="16:16">
      <c r="P163" s="85"/>
    </row>
    <row r="164" spans="16:16">
      <c r="P164" s="85"/>
    </row>
    <row r="165" spans="16:16">
      <c r="P165" s="85"/>
    </row>
    <row r="166" spans="16:16">
      <c r="P166" s="85"/>
    </row>
    <row r="167" spans="16:16">
      <c r="P167" s="85"/>
    </row>
    <row r="168" spans="16:16">
      <c r="P168" s="85"/>
    </row>
    <row r="169" spans="16:16">
      <c r="P169" s="85"/>
    </row>
    <row r="170" spans="16:16">
      <c r="P170" s="85"/>
    </row>
    <row r="171" spans="16:16">
      <c r="P171" s="85"/>
    </row>
    <row r="172" spans="16:16">
      <c r="P172" s="85"/>
    </row>
    <row r="173" spans="16:16">
      <c r="P173" s="85"/>
    </row>
    <row r="174" spans="16:16">
      <c r="P174" s="85"/>
    </row>
    <row r="175" spans="16:16">
      <c r="P175" s="85"/>
    </row>
    <row r="176" spans="16:16">
      <c r="P176" s="85"/>
    </row>
    <row r="177" spans="16:16">
      <c r="P177" s="85"/>
    </row>
    <row r="178" spans="16:16">
      <c r="P178" s="85"/>
    </row>
    <row r="179" spans="16:16">
      <c r="P179" s="85"/>
    </row>
    <row r="180" spans="16:16">
      <c r="P180" s="85"/>
    </row>
    <row r="181" spans="16:16">
      <c r="P181" s="85"/>
    </row>
    <row r="182" spans="16:16">
      <c r="P182" s="85"/>
    </row>
    <row r="183" spans="16:16">
      <c r="P183" s="85"/>
    </row>
    <row r="184" spans="16:16">
      <c r="P184" s="85"/>
    </row>
  </sheetData>
  <autoFilter xmlns:etc="http://www.wps.cn/officeDocument/2017/etCustomData" ref="A8:P28" etc:filterBottomFollowUsedRange="0">
    <sortState ref="A8:P28">
      <sortCondition ref="K8:K9" descending="1"/>
    </sortState>
    <extLst/>
  </autoFilter>
  <mergeCells count="19">
    <mergeCell ref="E1:I1"/>
    <mergeCell ref="G7:K7"/>
    <mergeCell ref="A8:A9"/>
    <mergeCell ref="B8:B9"/>
    <mergeCell ref="C1:C2"/>
    <mergeCell ref="C8:C9"/>
    <mergeCell ref="D8:D9"/>
    <mergeCell ref="E8:E9"/>
    <mergeCell ref="F8:F9"/>
    <mergeCell ref="G8:G9"/>
    <mergeCell ref="H8:H9"/>
    <mergeCell ref="I8:I9"/>
    <mergeCell ref="J8:J9"/>
    <mergeCell ref="K8:K9"/>
    <mergeCell ref="L8:L9"/>
    <mergeCell ref="M8:M9"/>
    <mergeCell ref="N8:N9"/>
    <mergeCell ref="O8:O9"/>
    <mergeCell ref="P8:P9"/>
  </mergeCells>
  <conditionalFormatting sqref="D5:I5">
    <cfRule type="cellIs" dxfId="0" priority="1" operator="lessThan">
      <formula>0</formula>
    </cfRule>
    <cfRule type="cellIs" dxfId="1" priority="2" operator="greaterThan">
      <formula>0</formula>
    </cfRule>
  </conditionalFormatting>
  <pageMargins left="0.7" right="0.7" top="0.75" bottom="0.75" header="0.3" footer="0.3"/>
  <pageSetup paperSize="1" orientation="portrait"/>
  <headerFooter>
    <oddFooter>&amp;L&amp;1#&amp;"Calibri"&amp;10&amp;K000000John Keells Group - Confidential</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799432355723746"/>
  </sheetPr>
  <dimension ref="A1:P196"/>
  <sheetViews>
    <sheetView workbookViewId="0">
      <selection activeCell="K14" sqref="K14"/>
    </sheetView>
  </sheetViews>
  <sheetFormatPr defaultColWidth="9.12037037037037" defaultRowHeight="14.4"/>
  <cols>
    <col min="1" max="1" width="8.12037037037037" style="2" customWidth="1"/>
    <col min="2" max="2" width="8.75" style="2" customWidth="1"/>
    <col min="3" max="3" width="20.1203703703704" style="2" customWidth="1"/>
    <col min="4" max="4" width="14.1203703703704" style="60" customWidth="1"/>
    <col min="5" max="5" width="13.25" customWidth="1"/>
    <col min="6" max="7" width="14.1203703703704" style="60" customWidth="1"/>
    <col min="8" max="8" width="13.3703703703704" style="60" customWidth="1"/>
    <col min="9" max="9" width="13.25" style="60" customWidth="1"/>
    <col min="10" max="10" width="10.25" style="60" customWidth="1"/>
    <col min="11" max="11" width="13.1203703703704" style="60" customWidth="1"/>
    <col min="12" max="12" width="11" style="2" customWidth="1"/>
    <col min="13" max="13" width="11.8796296296296" style="2" customWidth="1"/>
    <col min="14" max="14" width="35.25" style="2" customWidth="1"/>
    <col min="15" max="15" width="36.1203703703704" style="2" customWidth="1"/>
    <col min="16" max="16" width="16.3703703703704" style="2" customWidth="1"/>
    <col min="17" max="16384" width="9.12037037037037" style="2"/>
  </cols>
  <sheetData>
    <row r="1" spans="1:16">
      <c r="A1" s="27"/>
      <c r="C1" s="6" t="s">
        <v>133</v>
      </c>
      <c r="D1" s="7" t="s">
        <v>134</v>
      </c>
      <c r="E1" s="8" t="s">
        <v>135</v>
      </c>
      <c r="F1" s="8"/>
      <c r="G1" s="8"/>
      <c r="H1" s="8"/>
      <c r="I1" s="9"/>
      <c r="J1" s="61"/>
      <c r="K1" s="61"/>
    </row>
    <row r="2" spans="1:16">
      <c r="A2" s="27" t="s">
        <v>821</v>
      </c>
      <c r="C2" s="12"/>
      <c r="D2" s="62" t="s">
        <v>137</v>
      </c>
      <c r="E2" s="63" t="s">
        <v>138</v>
      </c>
      <c r="F2" s="64" t="s">
        <v>139</v>
      </c>
      <c r="G2" s="64" t="s">
        <v>140</v>
      </c>
      <c r="H2" s="64" t="s">
        <v>141</v>
      </c>
      <c r="I2" s="65" t="s">
        <v>142</v>
      </c>
      <c r="J2" s="61"/>
      <c r="K2" s="61"/>
    </row>
    <row r="3" spans="1:16">
      <c r="A3" s="27"/>
      <c r="C3" s="578" t="s">
        <v>711</v>
      </c>
      <c r="D3" s="66">
        <v>1972767.36</v>
      </c>
      <c r="E3" s="67">
        <v>2424.17</v>
      </c>
      <c r="F3" s="67">
        <v>93.55</v>
      </c>
      <c r="G3" s="67">
        <v>0</v>
      </c>
      <c r="H3" s="67">
        <v>162.49</v>
      </c>
      <c r="I3" s="67">
        <v>1970087.15</v>
      </c>
      <c r="J3" s="61"/>
      <c r="K3" s="61"/>
      <c r="N3" s="68" t="s">
        <v>858</v>
      </c>
    </row>
    <row r="4" spans="1:16">
      <c r="A4" s="27"/>
      <c r="C4" s="578" t="s">
        <v>712</v>
      </c>
      <c r="D4" s="18">
        <v>2049081.9</v>
      </c>
      <c r="E4" s="19">
        <v>38386.26</v>
      </c>
      <c r="F4" s="20">
        <v>0</v>
      </c>
      <c r="G4" s="20">
        <v>55.25</v>
      </c>
      <c r="H4" s="20">
        <v>159.28</v>
      </c>
      <c r="I4" s="21">
        <v>2010481.11</v>
      </c>
      <c r="J4" s="61"/>
      <c r="K4" s="61"/>
    </row>
    <row r="5" ht="15.15" spans="1:16">
      <c r="A5" s="27"/>
      <c r="C5" s="22" t="s">
        <v>145</v>
      </c>
      <c r="D5" s="23">
        <v>-76314.5400000003</v>
      </c>
      <c r="E5" s="24">
        <v>-35962.09</v>
      </c>
      <c r="F5" s="25">
        <v>93.55</v>
      </c>
      <c r="G5" s="25">
        <v>-55.25</v>
      </c>
      <c r="H5" s="25">
        <v>3.21000000000001</v>
      </c>
      <c r="I5" s="26">
        <v>-40393.9600000002</v>
      </c>
      <c r="J5" s="61"/>
      <c r="K5" s="61"/>
      <c r="N5" s="2" t="s">
        <v>859</v>
      </c>
    </row>
    <row r="6" ht="15.15" spans="1:16">
      <c r="A6" s="27"/>
      <c r="B6" s="27"/>
      <c r="C6" s="27"/>
      <c r="D6" s="69"/>
      <c r="E6" s="2"/>
      <c r="F6" s="69"/>
      <c r="G6" s="69"/>
      <c r="H6" s="69"/>
      <c r="I6" s="69"/>
      <c r="J6" s="69"/>
      <c r="K6" s="69"/>
      <c r="L6" s="27"/>
      <c r="M6" s="27"/>
    </row>
    <row r="7" spans="1:16">
      <c r="A7" s="27"/>
      <c r="B7" s="27"/>
      <c r="C7" s="27"/>
      <c r="D7" s="29"/>
      <c r="E7" s="29"/>
      <c r="F7" s="30"/>
      <c r="G7" s="31" t="s">
        <v>146</v>
      </c>
      <c r="H7" s="32"/>
      <c r="I7" s="32"/>
      <c r="J7" s="32"/>
      <c r="K7" s="33"/>
      <c r="L7" s="34"/>
      <c r="M7" s="34"/>
      <c r="N7" s="35"/>
      <c r="O7" s="70"/>
    </row>
    <row r="8" ht="16.5" customHeight="1" spans="1:16">
      <c r="A8" s="36" t="s">
        <v>147</v>
      </c>
      <c r="B8" s="36" t="s">
        <v>148</v>
      </c>
      <c r="C8" s="36" t="s">
        <v>149</v>
      </c>
      <c r="D8" s="37" t="s">
        <v>200</v>
      </c>
      <c r="E8" s="37" t="s">
        <v>713</v>
      </c>
      <c r="F8" s="37" t="s">
        <v>152</v>
      </c>
      <c r="G8" s="37" t="s">
        <v>153</v>
      </c>
      <c r="H8" s="37" t="s">
        <v>154</v>
      </c>
      <c r="I8" s="37" t="s">
        <v>155</v>
      </c>
      <c r="J8" s="37" t="s">
        <v>156</v>
      </c>
      <c r="K8" s="37" t="s">
        <v>157</v>
      </c>
      <c r="L8" s="36" t="s">
        <v>714</v>
      </c>
      <c r="M8" s="36" t="s">
        <v>201</v>
      </c>
      <c r="N8" s="38" t="s">
        <v>715</v>
      </c>
      <c r="O8" s="39" t="s">
        <v>161</v>
      </c>
      <c r="P8" s="39" t="s">
        <v>204</v>
      </c>
    </row>
    <row r="9" ht="33" customHeight="1" spans="1:16">
      <c r="A9" s="36"/>
      <c r="B9" s="36"/>
      <c r="C9" s="36"/>
      <c r="D9" s="37"/>
      <c r="E9" s="37"/>
      <c r="F9" s="37"/>
      <c r="G9" s="37"/>
      <c r="H9" s="37"/>
      <c r="I9" s="37"/>
      <c r="J9" s="37"/>
      <c r="K9" s="37"/>
      <c r="L9" s="36"/>
      <c r="M9" s="36"/>
      <c r="N9" s="38"/>
      <c r="O9" s="41"/>
      <c r="P9" s="41"/>
    </row>
    <row r="10" s="1" customFormat="1" ht="30" customHeight="1" spans="1:16">
      <c r="A10" s="71">
        <v>9967</v>
      </c>
      <c r="B10" s="72"/>
      <c r="C10" s="73" t="s">
        <v>841</v>
      </c>
      <c r="D10" s="45">
        <v>952.01</v>
      </c>
      <c r="E10" s="45">
        <v>952.01</v>
      </c>
      <c r="F10" s="45">
        <f t="shared" ref="F10:F24" si="0">D10-E10</f>
        <v>0</v>
      </c>
      <c r="G10" s="45">
        <v>0</v>
      </c>
      <c r="H10" s="45">
        <v>0</v>
      </c>
      <c r="I10" s="45">
        <v>0</v>
      </c>
      <c r="J10" s="45">
        <v>54.91</v>
      </c>
      <c r="K10" s="45">
        <v>897.1</v>
      </c>
      <c r="L10" s="74"/>
      <c r="M10" s="74">
        <v>0</v>
      </c>
      <c r="N10" s="75" t="s">
        <v>860</v>
      </c>
      <c r="O10" s="76" t="s">
        <v>860</v>
      </c>
      <c r="P10" s="47"/>
    </row>
    <row r="11" s="1" customFormat="1" ht="36.6" customHeight="1" spans="1:16">
      <c r="A11" s="71">
        <v>9712</v>
      </c>
      <c r="B11" s="72" t="s">
        <v>845</v>
      </c>
      <c r="C11" s="73" t="s">
        <v>846</v>
      </c>
      <c r="D11" s="45">
        <v>615.48</v>
      </c>
      <c r="E11" s="45">
        <v>615.48</v>
      </c>
      <c r="F11" s="45">
        <f t="shared" si="0"/>
        <v>0</v>
      </c>
      <c r="G11" s="45">
        <v>0</v>
      </c>
      <c r="H11" s="45">
        <v>0</v>
      </c>
      <c r="I11" s="45">
        <v>0</v>
      </c>
      <c r="J11" s="45">
        <v>35.5</v>
      </c>
      <c r="K11" s="45">
        <v>579.98</v>
      </c>
      <c r="L11" s="74"/>
      <c r="M11" s="74">
        <v>0</v>
      </c>
      <c r="N11" s="75" t="s">
        <v>860</v>
      </c>
      <c r="O11" s="76" t="s">
        <v>860</v>
      </c>
      <c r="P11" s="47"/>
    </row>
    <row r="12" s="1" customFormat="1" ht="28.8" spans="1:16">
      <c r="A12" s="71">
        <v>9927</v>
      </c>
      <c r="B12" s="72"/>
      <c r="C12" s="73" t="s">
        <v>844</v>
      </c>
      <c r="D12" s="45">
        <v>615.48</v>
      </c>
      <c r="E12" s="45">
        <v>615.48</v>
      </c>
      <c r="F12" s="45">
        <f t="shared" si="0"/>
        <v>0</v>
      </c>
      <c r="G12" s="45">
        <v>0</v>
      </c>
      <c r="H12" s="45">
        <v>0</v>
      </c>
      <c r="I12" s="45">
        <v>0</v>
      </c>
      <c r="J12" s="45">
        <v>35.5</v>
      </c>
      <c r="K12" s="45">
        <v>579.98</v>
      </c>
      <c r="L12" s="74"/>
      <c r="M12" s="74">
        <v>0</v>
      </c>
      <c r="N12" s="75" t="s">
        <v>860</v>
      </c>
      <c r="O12" s="76" t="s">
        <v>860</v>
      </c>
      <c r="P12" s="47"/>
    </row>
    <row r="13" s="1" customFormat="1" ht="28.8" spans="1:16">
      <c r="A13" s="71">
        <v>9958</v>
      </c>
      <c r="B13" s="72"/>
      <c r="C13" s="73" t="s">
        <v>843</v>
      </c>
      <c r="D13" s="45">
        <v>615.48</v>
      </c>
      <c r="E13" s="45">
        <v>615.48</v>
      </c>
      <c r="F13" s="45">
        <f t="shared" si="0"/>
        <v>0</v>
      </c>
      <c r="G13" s="45">
        <v>0</v>
      </c>
      <c r="H13" s="45">
        <v>0</v>
      </c>
      <c r="I13" s="45">
        <v>0</v>
      </c>
      <c r="J13" s="45">
        <v>35.5</v>
      </c>
      <c r="K13" s="45">
        <v>579.98</v>
      </c>
      <c r="L13" s="74"/>
      <c r="M13" s="74">
        <v>0</v>
      </c>
      <c r="N13" s="75" t="s">
        <v>860</v>
      </c>
      <c r="O13" s="76" t="s">
        <v>860</v>
      </c>
      <c r="P13" s="47"/>
    </row>
    <row r="14" s="1" customFormat="1" ht="43.2" spans="1:16">
      <c r="A14" s="71">
        <v>8009</v>
      </c>
      <c r="B14" s="72"/>
      <c r="C14" s="73" t="s">
        <v>861</v>
      </c>
      <c r="D14" s="45">
        <v>18.65</v>
      </c>
      <c r="E14" s="45">
        <v>18.65</v>
      </c>
      <c r="F14" s="45">
        <f t="shared" si="0"/>
        <v>0</v>
      </c>
      <c r="G14" s="45">
        <v>0</v>
      </c>
      <c r="H14" s="45">
        <v>0</v>
      </c>
      <c r="I14" s="45">
        <v>0</v>
      </c>
      <c r="J14" s="45">
        <v>1.08</v>
      </c>
      <c r="K14" s="45">
        <v>17.57</v>
      </c>
      <c r="L14" s="74"/>
      <c r="M14" s="74">
        <v>0</v>
      </c>
      <c r="N14" s="75" t="s">
        <v>837</v>
      </c>
      <c r="O14" s="76" t="s">
        <v>837</v>
      </c>
      <c r="P14" s="47"/>
    </row>
    <row r="15" s="1" customFormat="1" spans="1:16">
      <c r="A15" s="71">
        <v>151</v>
      </c>
      <c r="B15" s="72"/>
      <c r="C15" s="73" t="s">
        <v>824</v>
      </c>
      <c r="D15" s="45">
        <v>711303.87</v>
      </c>
      <c r="E15" s="45">
        <v>734058.87</v>
      </c>
      <c r="F15" s="45">
        <f t="shared" si="0"/>
        <v>-22755</v>
      </c>
      <c r="G15" s="45">
        <v>0</v>
      </c>
      <c r="H15" s="45">
        <v>0</v>
      </c>
      <c r="I15" s="45">
        <v>0</v>
      </c>
      <c r="J15" s="45">
        <v>0</v>
      </c>
      <c r="K15" s="45">
        <v>711303.87</v>
      </c>
      <c r="L15" s="74">
        <v>214</v>
      </c>
      <c r="M15" s="74">
        <v>246</v>
      </c>
      <c r="N15" s="75" t="s">
        <v>825</v>
      </c>
      <c r="O15" s="76" t="s">
        <v>825</v>
      </c>
      <c r="P15" s="47"/>
    </row>
    <row r="16" s="1" customFormat="1" ht="28.8" spans="1:16">
      <c r="A16" s="71">
        <v>56</v>
      </c>
      <c r="B16" s="72" t="s">
        <v>822</v>
      </c>
      <c r="C16" s="73" t="s">
        <v>766</v>
      </c>
      <c r="D16" s="45">
        <v>675560.86</v>
      </c>
      <c r="E16" s="45">
        <v>675560.86</v>
      </c>
      <c r="F16" s="45">
        <f t="shared" si="0"/>
        <v>0</v>
      </c>
      <c r="G16" s="45">
        <v>0</v>
      </c>
      <c r="H16" s="45">
        <v>0</v>
      </c>
      <c r="I16" s="45">
        <v>0</v>
      </c>
      <c r="J16" s="45">
        <v>0</v>
      </c>
      <c r="K16" s="45">
        <v>675560.86</v>
      </c>
      <c r="L16" s="74"/>
      <c r="M16" s="74">
        <v>0</v>
      </c>
      <c r="N16" s="76" t="s">
        <v>862</v>
      </c>
      <c r="O16" s="76" t="s">
        <v>862</v>
      </c>
      <c r="P16" s="47"/>
    </row>
    <row r="17" s="1" customFormat="1" ht="28.8" spans="1:16">
      <c r="A17" s="71">
        <v>95</v>
      </c>
      <c r="B17" s="72"/>
      <c r="C17" s="73" t="s">
        <v>826</v>
      </c>
      <c r="D17" s="45">
        <v>427044.18</v>
      </c>
      <c r="E17" s="45">
        <v>442044.18</v>
      </c>
      <c r="F17" s="45">
        <f t="shared" si="0"/>
        <v>-15000</v>
      </c>
      <c r="G17" s="45">
        <v>0</v>
      </c>
      <c r="H17" s="45">
        <v>0</v>
      </c>
      <c r="I17" s="45">
        <v>0</v>
      </c>
      <c r="J17" s="45">
        <v>0</v>
      </c>
      <c r="K17" s="45">
        <v>427044.18</v>
      </c>
      <c r="L17" s="74"/>
      <c r="M17" s="74">
        <v>0</v>
      </c>
      <c r="N17" s="75" t="s">
        <v>863</v>
      </c>
      <c r="O17" s="76" t="s">
        <v>863</v>
      </c>
      <c r="P17" s="47"/>
    </row>
    <row r="18" s="1" customFormat="1" ht="28.8" spans="1:16">
      <c r="A18" s="71">
        <v>94</v>
      </c>
      <c r="B18" s="72"/>
      <c r="C18" s="73" t="s">
        <v>769</v>
      </c>
      <c r="D18" s="45">
        <v>58186</v>
      </c>
      <c r="E18" s="45">
        <v>59186</v>
      </c>
      <c r="F18" s="45">
        <f t="shared" si="0"/>
        <v>-1000</v>
      </c>
      <c r="G18" s="45">
        <v>0</v>
      </c>
      <c r="H18" s="45">
        <v>0</v>
      </c>
      <c r="I18" s="45">
        <v>0</v>
      </c>
      <c r="J18" s="45">
        <v>0</v>
      </c>
      <c r="K18" s="45">
        <v>58186</v>
      </c>
      <c r="L18" s="74"/>
      <c r="M18" s="74">
        <v>0</v>
      </c>
      <c r="N18" s="77" t="s">
        <v>864</v>
      </c>
      <c r="O18" s="76" t="s">
        <v>865</v>
      </c>
      <c r="P18" s="47"/>
    </row>
    <row r="19" s="1" customFormat="1" spans="1:16">
      <c r="A19" s="71">
        <v>9231</v>
      </c>
      <c r="B19" s="72"/>
      <c r="C19" s="73" t="s">
        <v>762</v>
      </c>
      <c r="D19" s="45">
        <v>14753.6</v>
      </c>
      <c r="E19" s="45">
        <v>14753.6</v>
      </c>
      <c r="F19" s="45">
        <f t="shared" si="0"/>
        <v>0</v>
      </c>
      <c r="G19" s="45">
        <v>0</v>
      </c>
      <c r="H19" s="45">
        <v>0</v>
      </c>
      <c r="I19" s="45">
        <v>0</v>
      </c>
      <c r="J19" s="45">
        <v>0</v>
      </c>
      <c r="K19" s="45">
        <v>14753.6</v>
      </c>
      <c r="L19" s="74"/>
      <c r="M19" s="74">
        <v>0</v>
      </c>
      <c r="N19" s="75" t="s">
        <v>833</v>
      </c>
      <c r="O19" s="76" t="s">
        <v>866</v>
      </c>
      <c r="P19" s="47"/>
    </row>
    <row r="20" ht="28.8" spans="1:16">
      <c r="A20" s="71">
        <v>7220</v>
      </c>
      <c r="B20" s="72"/>
      <c r="C20" s="73" t="s">
        <v>834</v>
      </c>
      <c r="D20" s="45">
        <v>3892.66</v>
      </c>
      <c r="E20" s="45">
        <v>3892.66</v>
      </c>
      <c r="F20" s="45">
        <f t="shared" si="0"/>
        <v>0</v>
      </c>
      <c r="G20" s="45">
        <v>0</v>
      </c>
      <c r="H20" s="45">
        <v>0</v>
      </c>
      <c r="I20" s="45">
        <v>0</v>
      </c>
      <c r="J20" s="45">
        <v>0</v>
      </c>
      <c r="K20" s="45">
        <v>3892.66</v>
      </c>
      <c r="L20" s="74"/>
      <c r="M20" s="74">
        <v>0</v>
      </c>
      <c r="N20" s="75" t="s">
        <v>867</v>
      </c>
      <c r="O20" s="76" t="s">
        <v>867</v>
      </c>
      <c r="P20" s="47"/>
    </row>
    <row r="21" ht="43.2" spans="1:16">
      <c r="A21" s="71">
        <v>8002</v>
      </c>
      <c r="B21" s="72"/>
      <c r="C21" s="73" t="s">
        <v>836</v>
      </c>
      <c r="D21" s="45">
        <v>3765.81</v>
      </c>
      <c r="E21" s="45">
        <v>3765.81</v>
      </c>
      <c r="F21" s="45">
        <f t="shared" si="0"/>
        <v>0</v>
      </c>
      <c r="G21" s="45">
        <v>0</v>
      </c>
      <c r="H21" s="45">
        <v>0</v>
      </c>
      <c r="I21" s="45">
        <v>0</v>
      </c>
      <c r="J21" s="45">
        <v>0</v>
      </c>
      <c r="K21" s="45">
        <v>3765.81</v>
      </c>
      <c r="L21" s="74"/>
      <c r="M21" s="74">
        <v>0</v>
      </c>
      <c r="N21" s="75" t="s">
        <v>837</v>
      </c>
      <c r="O21" s="76" t="s">
        <v>837</v>
      </c>
      <c r="P21" s="47"/>
    </row>
    <row r="22" spans="1:16">
      <c r="A22" s="71">
        <v>93</v>
      </c>
      <c r="B22" s="72"/>
      <c r="C22" s="73" t="s">
        <v>838</v>
      </c>
      <c r="D22" s="45">
        <v>2994.21</v>
      </c>
      <c r="E22" s="45">
        <v>2994.21</v>
      </c>
      <c r="F22" s="45">
        <f t="shared" si="0"/>
        <v>0</v>
      </c>
      <c r="G22" s="45">
        <v>0</v>
      </c>
      <c r="H22" s="45">
        <v>0</v>
      </c>
      <c r="I22" s="45">
        <v>0</v>
      </c>
      <c r="J22" s="45">
        <v>0</v>
      </c>
      <c r="K22" s="45">
        <v>2994.21</v>
      </c>
      <c r="L22" s="74"/>
      <c r="M22" s="74">
        <v>0</v>
      </c>
      <c r="N22" s="75" t="s">
        <v>833</v>
      </c>
      <c r="O22" s="76" t="s">
        <v>88</v>
      </c>
      <c r="P22" s="47"/>
    </row>
    <row r="23" ht="43.2" spans="1:16">
      <c r="A23" s="71">
        <v>8124</v>
      </c>
      <c r="B23" s="72"/>
      <c r="C23" s="73" t="s">
        <v>840</v>
      </c>
      <c r="D23" s="45">
        <v>2684.1</v>
      </c>
      <c r="E23" s="45">
        <v>2684.1</v>
      </c>
      <c r="F23" s="45">
        <f t="shared" si="0"/>
        <v>0</v>
      </c>
      <c r="G23" s="45">
        <v>0</v>
      </c>
      <c r="H23" s="45">
        <v>0</v>
      </c>
      <c r="I23" s="45">
        <v>0</v>
      </c>
      <c r="J23" s="45">
        <v>0</v>
      </c>
      <c r="K23" s="45">
        <v>2684.1</v>
      </c>
      <c r="L23" s="74"/>
      <c r="M23" s="74">
        <v>0</v>
      </c>
      <c r="N23" s="75" t="s">
        <v>837</v>
      </c>
      <c r="O23" s="76" t="s">
        <v>837</v>
      </c>
      <c r="P23" s="47"/>
    </row>
    <row r="24" ht="43.15" customHeight="1" spans="1:16">
      <c r="A24" s="78" t="s">
        <v>868</v>
      </c>
      <c r="B24" s="79"/>
      <c r="C24" s="80" t="s">
        <v>830</v>
      </c>
      <c r="D24" s="81">
        <v>50932</v>
      </c>
      <c r="E24" s="81">
        <v>50932</v>
      </c>
      <c r="F24" s="81">
        <f t="shared" si="0"/>
        <v>0</v>
      </c>
      <c r="G24" s="81"/>
      <c r="H24" s="81"/>
      <c r="I24" s="81"/>
      <c r="J24" s="81"/>
      <c r="K24" s="81">
        <v>50932</v>
      </c>
      <c r="L24" s="82"/>
      <c r="M24" s="82"/>
      <c r="N24" s="83" t="s">
        <v>869</v>
      </c>
      <c r="O24" s="84" t="s">
        <v>88</v>
      </c>
      <c r="P24" s="47"/>
    </row>
    <row r="25" ht="15.15"/>
    <row r="42" spans="16:16">
      <c r="P42" s="85"/>
    </row>
    <row r="43" spans="16:16">
      <c r="P43" s="85"/>
    </row>
    <row r="44" spans="16:16">
      <c r="P44" s="85"/>
    </row>
    <row r="45" spans="16:16">
      <c r="P45" s="85"/>
    </row>
    <row r="46" spans="16:16">
      <c r="P46" s="85"/>
    </row>
    <row r="47" spans="16:16">
      <c r="P47" s="85"/>
    </row>
    <row r="48" spans="16:16">
      <c r="P48" s="85"/>
    </row>
    <row r="49" spans="16:16">
      <c r="P49" s="85"/>
    </row>
    <row r="50" spans="16:16">
      <c r="P50" s="85"/>
    </row>
    <row r="51" spans="16:16">
      <c r="P51" s="85"/>
    </row>
    <row r="52" spans="16:16">
      <c r="P52" s="85"/>
    </row>
    <row r="53" spans="16:16">
      <c r="P53" s="85"/>
    </row>
    <row r="54" spans="16:16">
      <c r="P54" s="85"/>
    </row>
    <row r="55" spans="16:16">
      <c r="P55" s="85"/>
    </row>
    <row r="56" spans="16:16">
      <c r="P56" s="85"/>
    </row>
    <row r="57" spans="16:16">
      <c r="P57" s="85"/>
    </row>
    <row r="58" spans="16:16">
      <c r="P58" s="85"/>
    </row>
    <row r="59" spans="16:16">
      <c r="P59" s="85"/>
    </row>
    <row r="60" spans="16:16">
      <c r="P60" s="85"/>
    </row>
    <row r="61" spans="16:16">
      <c r="P61" s="85"/>
    </row>
    <row r="62" spans="16:16">
      <c r="P62" s="85"/>
    </row>
    <row r="63" spans="16:16">
      <c r="P63" s="85"/>
    </row>
    <row r="64" spans="16:16">
      <c r="P64" s="85"/>
    </row>
    <row r="65" spans="16:16">
      <c r="P65" s="85"/>
    </row>
    <row r="66" spans="16:16">
      <c r="P66" s="85"/>
    </row>
    <row r="67" spans="16:16">
      <c r="P67" s="85"/>
    </row>
    <row r="68" spans="16:16">
      <c r="P68" s="85"/>
    </row>
    <row r="69" spans="16:16">
      <c r="P69" s="85"/>
    </row>
    <row r="70" spans="16:16">
      <c r="P70" s="85"/>
    </row>
    <row r="71" spans="16:16">
      <c r="P71" s="85"/>
    </row>
    <row r="72" spans="16:16">
      <c r="P72" s="85"/>
    </row>
    <row r="73" spans="16:16">
      <c r="P73" s="85"/>
    </row>
    <row r="74" spans="16:16">
      <c r="P74" s="85"/>
    </row>
    <row r="75" spans="16:16">
      <c r="P75" s="85"/>
    </row>
    <row r="76" spans="16:16">
      <c r="P76" s="85"/>
    </row>
    <row r="77" spans="16:16">
      <c r="P77" s="85"/>
    </row>
    <row r="78" spans="16:16">
      <c r="P78" s="85"/>
    </row>
    <row r="79" spans="16:16">
      <c r="P79" s="85"/>
    </row>
    <row r="80" spans="16:16">
      <c r="P80" s="85"/>
    </row>
    <row r="81" spans="16:16">
      <c r="P81" s="85"/>
    </row>
    <row r="82" spans="16:16">
      <c r="P82" s="85"/>
    </row>
    <row r="83" spans="16:16">
      <c r="P83" s="85"/>
    </row>
    <row r="84" spans="16:16">
      <c r="P84" s="85"/>
    </row>
    <row r="85" spans="16:16">
      <c r="P85" s="85"/>
    </row>
    <row r="86" spans="16:16">
      <c r="P86" s="85"/>
    </row>
    <row r="87" spans="16:16">
      <c r="P87" s="85"/>
    </row>
    <row r="88" spans="16:16">
      <c r="P88" s="85"/>
    </row>
    <row r="89" spans="16:16">
      <c r="P89" s="85"/>
    </row>
    <row r="90" spans="16:16">
      <c r="P90" s="85"/>
    </row>
    <row r="91" spans="16:16">
      <c r="P91" s="85"/>
    </row>
    <row r="92" spans="16:16">
      <c r="P92" s="85"/>
    </row>
    <row r="93" spans="16:16">
      <c r="P93" s="85"/>
    </row>
    <row r="94" spans="16:16">
      <c r="P94" s="85"/>
    </row>
    <row r="95" spans="16:16">
      <c r="P95" s="85"/>
    </row>
    <row r="96" spans="16:16">
      <c r="P96" s="85"/>
    </row>
    <row r="97" spans="16:16">
      <c r="P97" s="85"/>
    </row>
    <row r="98" spans="16:16">
      <c r="P98" s="85"/>
    </row>
    <row r="99" spans="16:16">
      <c r="P99" s="85"/>
    </row>
    <row r="100" spans="16:16">
      <c r="P100" s="85"/>
    </row>
    <row r="101" spans="16:16">
      <c r="P101" s="85"/>
    </row>
    <row r="102" spans="16:16">
      <c r="P102" s="85"/>
    </row>
    <row r="103" spans="16:16">
      <c r="P103" s="85"/>
    </row>
    <row r="104" spans="16:16">
      <c r="P104" s="85"/>
    </row>
    <row r="105" spans="16:16">
      <c r="P105" s="85"/>
    </row>
    <row r="106" spans="16:16">
      <c r="P106" s="85"/>
    </row>
    <row r="107" spans="16:16">
      <c r="P107" s="85"/>
    </row>
    <row r="108" spans="16:16">
      <c r="P108" s="85"/>
    </row>
    <row r="109" spans="16:16">
      <c r="P109" s="85"/>
    </row>
    <row r="110" spans="16:16">
      <c r="P110" s="85"/>
    </row>
    <row r="111" spans="16:16">
      <c r="P111" s="85"/>
    </row>
    <row r="112" spans="16:16">
      <c r="P112" s="85"/>
    </row>
    <row r="113" spans="16:16">
      <c r="P113" s="85"/>
    </row>
    <row r="114" spans="16:16">
      <c r="P114" s="85"/>
    </row>
    <row r="115" spans="16:16">
      <c r="P115" s="85"/>
    </row>
    <row r="116" spans="16:16">
      <c r="P116" s="85"/>
    </row>
    <row r="117" spans="16:16">
      <c r="P117" s="85"/>
    </row>
    <row r="118" spans="16:16">
      <c r="P118" s="85"/>
    </row>
    <row r="119" spans="16:16">
      <c r="P119" s="85"/>
    </row>
    <row r="120" spans="16:16">
      <c r="P120" s="85"/>
    </row>
    <row r="121" spans="16:16">
      <c r="P121" s="85"/>
    </row>
    <row r="122" spans="16:16">
      <c r="P122" s="85"/>
    </row>
    <row r="123" spans="16:16">
      <c r="P123" s="85"/>
    </row>
    <row r="124" spans="16:16">
      <c r="P124" s="85"/>
    </row>
    <row r="125" spans="16:16">
      <c r="P125" s="85"/>
    </row>
    <row r="126" spans="16:16">
      <c r="P126" s="85"/>
    </row>
    <row r="127" spans="16:16">
      <c r="P127" s="85"/>
    </row>
    <row r="128" spans="16:16">
      <c r="P128" s="85"/>
    </row>
    <row r="129" spans="16:16">
      <c r="P129" s="85"/>
    </row>
    <row r="130" spans="16:16">
      <c r="P130" s="85"/>
    </row>
    <row r="131" spans="16:16">
      <c r="P131" s="85"/>
    </row>
    <row r="132" spans="16:16">
      <c r="P132" s="85"/>
    </row>
    <row r="133" spans="16:16">
      <c r="P133" s="85"/>
    </row>
    <row r="134" spans="16:16">
      <c r="P134" s="85"/>
    </row>
    <row r="135" spans="16:16">
      <c r="P135" s="85"/>
    </row>
    <row r="136" spans="16:16">
      <c r="P136" s="85"/>
    </row>
    <row r="137" spans="16:16">
      <c r="P137" s="85"/>
    </row>
    <row r="138" spans="16:16">
      <c r="P138" s="85"/>
    </row>
    <row r="139" spans="16:16">
      <c r="P139" s="85"/>
    </row>
    <row r="140" spans="16:16">
      <c r="P140" s="85"/>
    </row>
    <row r="141" spans="16:16">
      <c r="P141" s="85"/>
    </row>
    <row r="142" spans="16:16">
      <c r="P142" s="85"/>
    </row>
    <row r="143" spans="16:16">
      <c r="P143" s="85"/>
    </row>
    <row r="144" spans="16:16">
      <c r="P144" s="85"/>
    </row>
    <row r="145" spans="16:16">
      <c r="P145" s="85"/>
    </row>
    <row r="146" spans="16:16">
      <c r="P146" s="85"/>
    </row>
    <row r="147" spans="16:16">
      <c r="P147" s="85"/>
    </row>
    <row r="148" spans="16:16">
      <c r="P148" s="85"/>
    </row>
    <row r="149" spans="16:16">
      <c r="P149" s="85"/>
    </row>
    <row r="150" spans="16:16">
      <c r="P150" s="85"/>
    </row>
    <row r="151" spans="16:16">
      <c r="P151" s="85"/>
    </row>
    <row r="152" spans="16:16">
      <c r="P152" s="85"/>
    </row>
    <row r="153" spans="16:16">
      <c r="P153" s="85"/>
    </row>
    <row r="154" spans="16:16">
      <c r="P154" s="85"/>
    </row>
    <row r="155" spans="16:16">
      <c r="P155" s="85"/>
    </row>
    <row r="156" spans="16:16">
      <c r="P156" s="85"/>
    </row>
    <row r="157" spans="16:16">
      <c r="P157" s="85"/>
    </row>
    <row r="158" spans="16:16">
      <c r="P158" s="85"/>
    </row>
    <row r="159" spans="16:16">
      <c r="P159" s="85"/>
    </row>
    <row r="160" spans="16:16">
      <c r="P160" s="85"/>
    </row>
    <row r="161" spans="16:16">
      <c r="P161" s="85"/>
    </row>
    <row r="162" spans="16:16">
      <c r="P162" s="85"/>
    </row>
    <row r="163" spans="16:16">
      <c r="P163" s="85"/>
    </row>
    <row r="164" spans="16:16">
      <c r="P164" s="85"/>
    </row>
    <row r="165" spans="16:16">
      <c r="P165" s="85"/>
    </row>
    <row r="166" spans="16:16">
      <c r="P166" s="85"/>
    </row>
    <row r="167" spans="16:16">
      <c r="P167" s="85"/>
    </row>
    <row r="168" spans="16:16">
      <c r="P168" s="85"/>
    </row>
    <row r="169" spans="16:16">
      <c r="P169" s="85"/>
    </row>
    <row r="170" spans="16:16">
      <c r="P170" s="85"/>
    </row>
    <row r="171" spans="16:16">
      <c r="P171" s="85"/>
    </row>
    <row r="172" spans="16:16">
      <c r="P172" s="85"/>
    </row>
    <row r="173" spans="16:16">
      <c r="P173" s="85"/>
    </row>
    <row r="174" spans="16:16">
      <c r="P174" s="85"/>
    </row>
    <row r="175" spans="16:16">
      <c r="P175" s="85"/>
    </row>
    <row r="176" spans="16:16">
      <c r="P176" s="85"/>
    </row>
    <row r="177" spans="16:16">
      <c r="P177" s="85"/>
    </row>
    <row r="178" spans="16:16">
      <c r="P178" s="85"/>
    </row>
    <row r="179" spans="16:16">
      <c r="P179" s="85"/>
    </row>
    <row r="180" spans="16:16">
      <c r="P180" s="85"/>
    </row>
    <row r="181" spans="16:16">
      <c r="P181" s="85"/>
    </row>
    <row r="182" spans="16:16">
      <c r="P182" s="85"/>
    </row>
    <row r="183" spans="16:16">
      <c r="P183" s="85"/>
    </row>
    <row r="184" spans="16:16">
      <c r="P184" s="85"/>
    </row>
    <row r="185" spans="16:16">
      <c r="P185" s="85"/>
    </row>
    <row r="186" spans="16:16">
      <c r="P186" s="85"/>
    </row>
    <row r="187" spans="16:16">
      <c r="P187" s="85"/>
    </row>
    <row r="188" spans="16:16">
      <c r="P188" s="85"/>
    </row>
    <row r="189" spans="16:16">
      <c r="P189" s="85"/>
    </row>
    <row r="190" spans="16:16">
      <c r="P190" s="85"/>
    </row>
    <row r="191" spans="16:16">
      <c r="P191" s="85"/>
    </row>
    <row r="192" spans="16:16">
      <c r="P192" s="85"/>
    </row>
    <row r="193" spans="16:16">
      <c r="P193" s="85"/>
    </row>
    <row r="194" spans="16:16">
      <c r="P194" s="85"/>
    </row>
    <row r="195" spans="16:16">
      <c r="P195" s="85"/>
    </row>
    <row r="196" spans="16:16">
      <c r="P196" s="85"/>
    </row>
  </sheetData>
  <autoFilter xmlns:etc="http://www.wps.cn/officeDocument/2017/etCustomData" ref="A8:P24" etc:filterBottomFollowUsedRange="0">
    <sortState ref="A8:P24">
      <sortCondition ref="J8:J9" descending="1"/>
    </sortState>
    <extLst/>
  </autoFilter>
  <mergeCells count="19">
    <mergeCell ref="E1:I1"/>
    <mergeCell ref="G7:K7"/>
    <mergeCell ref="A8:A9"/>
    <mergeCell ref="B8:B9"/>
    <mergeCell ref="C1:C2"/>
    <mergeCell ref="C8:C9"/>
    <mergeCell ref="D8:D9"/>
    <mergeCell ref="E8:E9"/>
    <mergeCell ref="F8:F9"/>
    <mergeCell ref="G8:G9"/>
    <mergeCell ref="H8:H9"/>
    <mergeCell ref="I8:I9"/>
    <mergeCell ref="J8:J9"/>
    <mergeCell ref="K8:K9"/>
    <mergeCell ref="L8:L9"/>
    <mergeCell ref="M8:M9"/>
    <mergeCell ref="N8:N9"/>
    <mergeCell ref="O8:O9"/>
    <mergeCell ref="P8:P9"/>
  </mergeCells>
  <conditionalFormatting sqref="D5:I5">
    <cfRule type="cellIs" dxfId="0" priority="1" operator="lessThan">
      <formula>0</formula>
    </cfRule>
    <cfRule type="cellIs" dxfId="1" priority="2" operator="greaterThan">
      <formula>0</formula>
    </cfRule>
  </conditionalFormatting>
  <pageMargins left="0.7" right="0.7" top="0.75" bottom="0.75" header="0.3" footer="0.3"/>
  <pageSetup paperSize="1" orientation="portrait"/>
  <headerFooter>
    <oddFooter>&amp;L&amp;1#&amp;"Calibri"&amp;10&amp;K000000John Keells Group - Confidential</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799432355723746"/>
  </sheetPr>
  <dimension ref="A1:P50"/>
  <sheetViews>
    <sheetView workbookViewId="0">
      <selection activeCell="K14" sqref="K14"/>
    </sheetView>
  </sheetViews>
  <sheetFormatPr defaultColWidth="9.12037037037037" defaultRowHeight="14.4"/>
  <cols>
    <col min="1" max="1" width="7.87962962962963" style="2" customWidth="1"/>
    <col min="2" max="2" width="8.75" style="2" customWidth="1"/>
    <col min="3" max="3" width="18.75" style="2" customWidth="1"/>
    <col min="4" max="4" width="11.25" style="3" customWidth="1"/>
    <col min="5" max="5" width="11.6296296296296" customWidth="1"/>
    <col min="6" max="6" width="12.25" style="3" customWidth="1"/>
    <col min="7" max="7" width="10.75" style="3" customWidth="1"/>
    <col min="8" max="9" width="11.8796296296296" style="3" customWidth="1"/>
    <col min="10" max="10" width="11.75" style="3" customWidth="1"/>
    <col min="11" max="11" width="14" style="2" customWidth="1"/>
    <col min="12" max="12" width="12" style="3" customWidth="1"/>
    <col min="13" max="13" width="13.1203703703704" style="3" customWidth="1"/>
    <col min="14" max="14" width="30.75" style="2" customWidth="1"/>
    <col min="15" max="15" width="24.3703703703704" style="4" customWidth="1"/>
    <col min="16" max="16" width="16.25" style="4" customWidth="1"/>
    <col min="17" max="16384" width="9.12037037037037" style="2"/>
  </cols>
  <sheetData>
    <row r="1" ht="18" spans="1:16">
      <c r="A1" s="5"/>
      <c r="C1" s="6" t="s">
        <v>133</v>
      </c>
      <c r="D1" s="7" t="s">
        <v>134</v>
      </c>
      <c r="E1" s="8" t="s">
        <v>135</v>
      </c>
      <c r="F1" s="8"/>
      <c r="G1" s="8"/>
      <c r="H1" s="8"/>
      <c r="I1" s="9"/>
      <c r="J1" s="10"/>
      <c r="L1" s="10"/>
      <c r="M1" s="10"/>
    </row>
    <row r="2" ht="15.6" spans="1:16">
      <c r="A2" s="11" t="s">
        <v>772</v>
      </c>
      <c r="C2" s="12"/>
      <c r="D2" s="13" t="s">
        <v>137</v>
      </c>
      <c r="E2" s="14" t="s">
        <v>138</v>
      </c>
      <c r="F2" s="15" t="s">
        <v>139</v>
      </c>
      <c r="G2" s="15" t="s">
        <v>140</v>
      </c>
      <c r="H2" s="15" t="s">
        <v>141</v>
      </c>
      <c r="I2" s="16" t="s">
        <v>142</v>
      </c>
      <c r="J2" s="10"/>
      <c r="L2" s="10"/>
      <c r="M2" s="10"/>
    </row>
    <row r="3" ht="15.6" spans="1:16">
      <c r="A3" s="11"/>
      <c r="C3" s="578" t="s">
        <v>711</v>
      </c>
      <c r="D3" s="18">
        <v>1564566.76</v>
      </c>
      <c r="E3" s="19">
        <v>3902.38</v>
      </c>
      <c r="F3" s="20">
        <v>515.03</v>
      </c>
      <c r="G3" s="20">
        <v>0</v>
      </c>
      <c r="H3" s="20">
        <v>230.94</v>
      </c>
      <c r="I3" s="21">
        <v>1559918.41</v>
      </c>
      <c r="J3" s="10"/>
      <c r="L3" s="10"/>
      <c r="M3" s="10"/>
    </row>
    <row r="4" ht="15.6" spans="1:16">
      <c r="A4" s="11"/>
      <c r="C4" s="578" t="s">
        <v>712</v>
      </c>
      <c r="D4" s="18">
        <v>1824316.98</v>
      </c>
      <c r="E4" s="19">
        <v>240565.93</v>
      </c>
      <c r="F4" s="20">
        <v>101.75</v>
      </c>
      <c r="G4" s="20">
        <v>78.51</v>
      </c>
      <c r="H4" s="20">
        <v>226.42</v>
      </c>
      <c r="I4" s="21">
        <v>1583344.37</v>
      </c>
      <c r="J4" s="10"/>
      <c r="L4" s="10"/>
      <c r="M4" s="10"/>
    </row>
    <row r="5" ht="16.35" spans="1:16">
      <c r="A5" s="11"/>
      <c r="C5" s="22" t="s">
        <v>145</v>
      </c>
      <c r="D5" s="23">
        <v>-259750.22</v>
      </c>
      <c r="E5" s="24">
        <v>-236663.55</v>
      </c>
      <c r="F5" s="25">
        <v>413.28</v>
      </c>
      <c r="G5" s="25">
        <v>-78.51</v>
      </c>
      <c r="H5" s="25">
        <v>4.51999999999998</v>
      </c>
      <c r="I5" s="26">
        <v>-23425.9600000002</v>
      </c>
      <c r="J5" s="10"/>
      <c r="L5" s="10"/>
      <c r="M5" s="10"/>
    </row>
    <row r="6" ht="15.15" spans="1:16">
      <c r="A6" s="27"/>
      <c r="B6" s="27"/>
      <c r="C6" s="27"/>
      <c r="D6" s="28"/>
      <c r="E6" s="2"/>
      <c r="F6" s="28"/>
      <c r="G6" s="28"/>
      <c r="H6" s="28"/>
      <c r="I6" s="28"/>
      <c r="J6" s="28"/>
      <c r="L6" s="28"/>
      <c r="M6" s="28"/>
    </row>
    <row r="7" spans="1:16">
      <c r="A7" s="27"/>
      <c r="B7" s="27"/>
      <c r="C7" s="27"/>
      <c r="D7" s="29"/>
      <c r="E7" s="29"/>
      <c r="F7" s="30"/>
      <c r="G7" s="31" t="s">
        <v>146</v>
      </c>
      <c r="H7" s="32"/>
      <c r="I7" s="32"/>
      <c r="J7" s="32"/>
      <c r="K7" s="33"/>
      <c r="L7" s="34"/>
      <c r="M7" s="34"/>
      <c r="N7" s="35"/>
      <c r="O7" s="35"/>
      <c r="P7" s="35"/>
    </row>
    <row r="8" ht="15.75" customHeight="1" spans="1:16">
      <c r="A8" s="36" t="s">
        <v>147</v>
      </c>
      <c r="B8" s="36" t="s">
        <v>148</v>
      </c>
      <c r="C8" s="36" t="s">
        <v>149</v>
      </c>
      <c r="D8" s="37" t="s">
        <v>200</v>
      </c>
      <c r="E8" s="37" t="s">
        <v>713</v>
      </c>
      <c r="F8" s="37" t="s">
        <v>152</v>
      </c>
      <c r="G8" s="37" t="s">
        <v>153</v>
      </c>
      <c r="H8" s="37" t="s">
        <v>154</v>
      </c>
      <c r="I8" s="37" t="s">
        <v>155</v>
      </c>
      <c r="J8" s="37" t="s">
        <v>156</v>
      </c>
      <c r="K8" s="37" t="s">
        <v>157</v>
      </c>
      <c r="L8" s="36" t="s">
        <v>714</v>
      </c>
      <c r="M8" s="36" t="s">
        <v>201</v>
      </c>
      <c r="N8" s="38" t="s">
        <v>715</v>
      </c>
      <c r="O8" s="39" t="s">
        <v>161</v>
      </c>
      <c r="P8" s="39" t="s">
        <v>204</v>
      </c>
    </row>
    <row r="9" ht="30.75" customHeight="1" spans="1:16">
      <c r="A9" s="40"/>
      <c r="B9" s="40"/>
      <c r="C9" s="40"/>
      <c r="D9" s="37"/>
      <c r="E9" s="37"/>
      <c r="F9" s="37"/>
      <c r="G9" s="37"/>
      <c r="H9" s="37"/>
      <c r="I9" s="37"/>
      <c r="J9" s="37"/>
      <c r="K9" s="37"/>
      <c r="L9" s="36"/>
      <c r="M9" s="36"/>
      <c r="N9" s="38"/>
      <c r="O9" s="41"/>
      <c r="P9" s="41"/>
    </row>
    <row r="10" s="1" customFormat="1" ht="28.8" spans="1:16">
      <c r="A10" s="42">
        <v>14222</v>
      </c>
      <c r="B10" s="43"/>
      <c r="C10" s="44" t="s">
        <v>870</v>
      </c>
      <c r="D10" s="45">
        <v>553.13</v>
      </c>
      <c r="E10" s="45">
        <v>1365.53</v>
      </c>
      <c r="F10" s="45">
        <f t="shared" ref="F10:F41" si="0">D10-E10</f>
        <v>-812.4</v>
      </c>
      <c r="G10" s="45">
        <v>38.1</v>
      </c>
      <c r="H10" s="45">
        <v>515.03</v>
      </c>
      <c r="I10" s="45">
        <v>0</v>
      </c>
      <c r="J10" s="45">
        <v>0</v>
      </c>
      <c r="K10" s="45">
        <v>0</v>
      </c>
      <c r="L10" s="46">
        <v>39</v>
      </c>
      <c r="M10" s="46">
        <v>9</v>
      </c>
      <c r="N10" s="47" t="s">
        <v>871</v>
      </c>
      <c r="O10" s="47" t="s">
        <v>88</v>
      </c>
      <c r="P10" s="47"/>
    </row>
    <row r="11" s="1" customFormat="1" ht="28.8" spans="1:16">
      <c r="A11" s="42">
        <v>13339</v>
      </c>
      <c r="B11" s="43" t="s">
        <v>872</v>
      </c>
      <c r="C11" s="44" t="s">
        <v>873</v>
      </c>
      <c r="D11" s="45">
        <v>550496.07</v>
      </c>
      <c r="E11" s="45">
        <v>550496.07</v>
      </c>
      <c r="F11" s="45">
        <f t="shared" si="0"/>
        <v>0</v>
      </c>
      <c r="G11" s="45">
        <v>0</v>
      </c>
      <c r="H11" s="45">
        <v>0</v>
      </c>
      <c r="I11" s="45">
        <v>0</v>
      </c>
      <c r="J11" s="45">
        <v>0</v>
      </c>
      <c r="K11" s="45">
        <v>550496.07</v>
      </c>
      <c r="L11" s="46"/>
      <c r="M11" s="46"/>
      <c r="N11" s="47" t="s">
        <v>874</v>
      </c>
      <c r="O11" s="47" t="s">
        <v>875</v>
      </c>
      <c r="P11" s="47"/>
    </row>
    <row r="12" s="1" customFormat="1" ht="72" spans="1:16">
      <c r="A12" s="42">
        <v>13378</v>
      </c>
      <c r="B12" s="43"/>
      <c r="C12" s="44" t="s">
        <v>876</v>
      </c>
      <c r="D12" s="45">
        <v>201321.5</v>
      </c>
      <c r="E12" s="45">
        <v>201321.5</v>
      </c>
      <c r="F12" s="45">
        <f t="shared" si="0"/>
        <v>0</v>
      </c>
      <c r="G12" s="45">
        <v>0</v>
      </c>
      <c r="H12" s="45">
        <v>0</v>
      </c>
      <c r="I12" s="45">
        <v>0</v>
      </c>
      <c r="J12" s="45">
        <v>0</v>
      </c>
      <c r="K12" s="45">
        <v>201321.5</v>
      </c>
      <c r="L12" s="46"/>
      <c r="M12" s="46"/>
      <c r="N12" s="48" t="s">
        <v>877</v>
      </c>
      <c r="O12" s="47" t="s">
        <v>878</v>
      </c>
      <c r="P12" s="47"/>
    </row>
    <row r="13" s="1" customFormat="1" ht="28.8" spans="1:16">
      <c r="A13" s="49">
        <v>13613</v>
      </c>
      <c r="B13" s="50"/>
      <c r="C13" s="51" t="s">
        <v>879</v>
      </c>
      <c r="D13" s="52">
        <v>73821.22</v>
      </c>
      <c r="E13" s="52">
        <v>73821.22</v>
      </c>
      <c r="F13" s="52">
        <f t="shared" si="0"/>
        <v>0</v>
      </c>
      <c r="G13" s="52">
        <v>0</v>
      </c>
      <c r="H13" s="52">
        <v>0</v>
      </c>
      <c r="I13" s="52">
        <v>0</v>
      </c>
      <c r="J13" s="52">
        <v>0</v>
      </c>
      <c r="K13" s="52">
        <v>73821.22</v>
      </c>
      <c r="L13" s="53"/>
      <c r="M13" s="53"/>
      <c r="N13" s="48" t="s">
        <v>880</v>
      </c>
      <c r="O13" s="47" t="s">
        <v>881</v>
      </c>
      <c r="P13" s="47"/>
    </row>
    <row r="14" s="1" customFormat="1" ht="72" spans="1:16">
      <c r="A14" s="42">
        <v>13045</v>
      </c>
      <c r="B14" s="43" t="s">
        <v>882</v>
      </c>
      <c r="C14" s="44" t="s">
        <v>883</v>
      </c>
      <c r="D14" s="45">
        <v>71288</v>
      </c>
      <c r="E14" s="45">
        <v>71288</v>
      </c>
      <c r="F14" s="45">
        <f t="shared" si="0"/>
        <v>0</v>
      </c>
      <c r="G14" s="45">
        <v>0</v>
      </c>
      <c r="H14" s="45">
        <v>0</v>
      </c>
      <c r="I14" s="45">
        <v>0</v>
      </c>
      <c r="J14" s="45">
        <v>0</v>
      </c>
      <c r="K14" s="45">
        <v>71288</v>
      </c>
      <c r="L14" s="46"/>
      <c r="M14" s="46"/>
      <c r="N14" s="48" t="s">
        <v>877</v>
      </c>
      <c r="O14" s="47" t="s">
        <v>878</v>
      </c>
      <c r="P14" s="47"/>
    </row>
    <row r="15" s="1" customFormat="1" ht="43.2" spans="1:16">
      <c r="A15" s="42">
        <v>13671</v>
      </c>
      <c r="B15" s="43" t="s">
        <v>884</v>
      </c>
      <c r="C15" s="44" t="s">
        <v>885</v>
      </c>
      <c r="D15" s="45">
        <v>65642</v>
      </c>
      <c r="E15" s="45">
        <v>65642</v>
      </c>
      <c r="F15" s="45">
        <f t="shared" si="0"/>
        <v>0</v>
      </c>
      <c r="G15" s="45">
        <v>0</v>
      </c>
      <c r="H15" s="45">
        <v>0</v>
      </c>
      <c r="I15" s="45">
        <v>0</v>
      </c>
      <c r="J15" s="45">
        <v>0</v>
      </c>
      <c r="K15" s="45">
        <v>65642</v>
      </c>
      <c r="L15" s="46"/>
      <c r="M15" s="46"/>
      <c r="N15" s="47" t="s">
        <v>886</v>
      </c>
      <c r="O15" s="47" t="s">
        <v>887</v>
      </c>
      <c r="P15" s="47"/>
    </row>
    <row r="16" s="1" customFormat="1" ht="28.8" spans="1:16">
      <c r="A16" s="42">
        <v>13097</v>
      </c>
      <c r="B16" s="43"/>
      <c r="C16" s="44" t="s">
        <v>888</v>
      </c>
      <c r="D16" s="45">
        <v>52953.45</v>
      </c>
      <c r="E16" s="45">
        <v>53407.2</v>
      </c>
      <c r="F16" s="45">
        <f t="shared" si="0"/>
        <v>-453.75</v>
      </c>
      <c r="G16" s="45">
        <v>0</v>
      </c>
      <c r="H16" s="45">
        <v>0</v>
      </c>
      <c r="I16" s="45">
        <v>0</v>
      </c>
      <c r="J16" s="45">
        <v>0</v>
      </c>
      <c r="K16" s="45">
        <v>52953.45</v>
      </c>
      <c r="L16" s="46">
        <v>3</v>
      </c>
      <c r="M16" s="46">
        <v>5</v>
      </c>
      <c r="N16" s="48" t="s">
        <v>889</v>
      </c>
      <c r="O16" s="47" t="s">
        <v>890</v>
      </c>
      <c r="P16" s="47"/>
    </row>
    <row r="17" s="1" customFormat="1" ht="28.8" spans="1:16">
      <c r="A17" s="42">
        <v>11621</v>
      </c>
      <c r="B17" s="43"/>
      <c r="C17" s="44" t="s">
        <v>891</v>
      </c>
      <c r="D17" s="45">
        <v>47158.44</v>
      </c>
      <c r="E17" s="45">
        <v>48894.09</v>
      </c>
      <c r="F17" s="45">
        <f t="shared" si="0"/>
        <v>-1735.64999999999</v>
      </c>
      <c r="G17" s="45">
        <v>0</v>
      </c>
      <c r="H17" s="45">
        <v>0</v>
      </c>
      <c r="I17" s="45">
        <v>0</v>
      </c>
      <c r="J17" s="45">
        <v>0</v>
      </c>
      <c r="K17" s="45">
        <v>47158.44</v>
      </c>
      <c r="L17" s="46"/>
      <c r="M17" s="46">
        <v>19</v>
      </c>
      <c r="N17" s="48" t="s">
        <v>890</v>
      </c>
      <c r="O17" s="47" t="s">
        <v>890</v>
      </c>
      <c r="P17" s="47"/>
    </row>
    <row r="18" s="1" customFormat="1" ht="28.8" spans="1:16">
      <c r="A18" s="42">
        <v>12899</v>
      </c>
      <c r="B18" s="43" t="s">
        <v>892</v>
      </c>
      <c r="C18" s="44" t="s">
        <v>893</v>
      </c>
      <c r="D18" s="45">
        <v>40423.9</v>
      </c>
      <c r="E18" s="45">
        <v>40423.9</v>
      </c>
      <c r="F18" s="45">
        <f t="shared" si="0"/>
        <v>0</v>
      </c>
      <c r="G18" s="45">
        <v>0</v>
      </c>
      <c r="H18" s="45">
        <v>0</v>
      </c>
      <c r="I18" s="45">
        <v>0</v>
      </c>
      <c r="J18" s="45">
        <v>0</v>
      </c>
      <c r="K18" s="45">
        <v>40423.9</v>
      </c>
      <c r="L18" s="46"/>
      <c r="M18" s="46"/>
      <c r="N18" s="47" t="s">
        <v>894</v>
      </c>
      <c r="O18" s="47" t="s">
        <v>895</v>
      </c>
      <c r="P18" s="47"/>
    </row>
    <row r="19" s="1" customFormat="1" ht="28.8" spans="1:16">
      <c r="A19" s="42">
        <v>11737</v>
      </c>
      <c r="B19" s="43" t="s">
        <v>896</v>
      </c>
      <c r="C19" s="44" t="s">
        <v>897</v>
      </c>
      <c r="D19" s="45">
        <v>32548.1</v>
      </c>
      <c r="E19" s="45">
        <v>32548.1</v>
      </c>
      <c r="F19" s="45">
        <f t="shared" si="0"/>
        <v>0</v>
      </c>
      <c r="G19" s="45">
        <v>0</v>
      </c>
      <c r="H19" s="45">
        <v>0</v>
      </c>
      <c r="I19" s="45">
        <v>0</v>
      </c>
      <c r="J19" s="45">
        <v>0</v>
      </c>
      <c r="K19" s="45">
        <v>32548.1</v>
      </c>
      <c r="L19" s="46"/>
      <c r="M19" s="46"/>
      <c r="N19" s="47" t="s">
        <v>898</v>
      </c>
      <c r="O19" s="47" t="s">
        <v>890</v>
      </c>
      <c r="P19" s="47"/>
    </row>
    <row r="20" s="1" customFormat="1" ht="28.8" spans="1:16">
      <c r="A20" s="42">
        <v>13215</v>
      </c>
      <c r="B20" s="43"/>
      <c r="C20" s="44" t="s">
        <v>899</v>
      </c>
      <c r="D20" s="45">
        <v>28945.25</v>
      </c>
      <c r="E20" s="45">
        <v>30790.5</v>
      </c>
      <c r="F20" s="45">
        <f t="shared" si="0"/>
        <v>-1845.25</v>
      </c>
      <c r="G20" s="45">
        <v>0</v>
      </c>
      <c r="H20" s="45">
        <v>0</v>
      </c>
      <c r="I20" s="45">
        <v>0</v>
      </c>
      <c r="J20" s="45">
        <v>0</v>
      </c>
      <c r="K20" s="45">
        <v>28945.25</v>
      </c>
      <c r="L20" s="46">
        <v>8</v>
      </c>
      <c r="M20" s="46">
        <v>20</v>
      </c>
      <c r="N20" s="47" t="s">
        <v>890</v>
      </c>
      <c r="O20" s="47" t="s">
        <v>900</v>
      </c>
      <c r="P20" s="47"/>
    </row>
    <row r="21" s="1" customFormat="1" ht="28.8" spans="1:16">
      <c r="A21" s="42">
        <v>13286</v>
      </c>
      <c r="B21" s="43"/>
      <c r="C21" s="44" t="s">
        <v>901</v>
      </c>
      <c r="D21" s="45">
        <v>26749</v>
      </c>
      <c r="E21" s="45">
        <v>26749</v>
      </c>
      <c r="F21" s="45">
        <f t="shared" si="0"/>
        <v>0</v>
      </c>
      <c r="G21" s="45">
        <v>0</v>
      </c>
      <c r="H21" s="45">
        <v>0</v>
      </c>
      <c r="I21" s="45">
        <v>0</v>
      </c>
      <c r="J21" s="45">
        <v>0</v>
      </c>
      <c r="K21" s="45">
        <v>26749</v>
      </c>
      <c r="L21" s="46"/>
      <c r="M21" s="46"/>
      <c r="N21" s="47" t="s">
        <v>898</v>
      </c>
      <c r="O21" s="47" t="s">
        <v>900</v>
      </c>
      <c r="P21" s="47"/>
    </row>
    <row r="22" s="1" customFormat="1" ht="43.2" spans="1:16">
      <c r="A22" s="42">
        <v>12874</v>
      </c>
      <c r="B22" s="43" t="s">
        <v>902</v>
      </c>
      <c r="C22" s="44" t="s">
        <v>903</v>
      </c>
      <c r="D22" s="45">
        <v>21341.41</v>
      </c>
      <c r="E22" s="45">
        <v>21341.41</v>
      </c>
      <c r="F22" s="45">
        <f t="shared" si="0"/>
        <v>0</v>
      </c>
      <c r="G22" s="45">
        <v>0</v>
      </c>
      <c r="H22" s="45">
        <v>0</v>
      </c>
      <c r="I22" s="45">
        <v>0</v>
      </c>
      <c r="J22" s="45">
        <v>0</v>
      </c>
      <c r="K22" s="45">
        <v>21341.41</v>
      </c>
      <c r="L22" s="46"/>
      <c r="M22" s="46"/>
      <c r="N22" s="47" t="s">
        <v>886</v>
      </c>
      <c r="O22" s="47" t="s">
        <v>895</v>
      </c>
      <c r="P22" s="47"/>
    </row>
    <row r="23" s="1" customFormat="1" ht="28.8" spans="1:16">
      <c r="A23" s="42">
        <v>13217</v>
      </c>
      <c r="B23" s="43" t="s">
        <v>904</v>
      </c>
      <c r="C23" s="44" t="s">
        <v>905</v>
      </c>
      <c r="D23" s="45">
        <v>20032</v>
      </c>
      <c r="E23" s="45">
        <v>20032</v>
      </c>
      <c r="F23" s="45">
        <f t="shared" si="0"/>
        <v>0</v>
      </c>
      <c r="G23" s="45">
        <v>0</v>
      </c>
      <c r="H23" s="45">
        <v>0</v>
      </c>
      <c r="I23" s="45">
        <v>0</v>
      </c>
      <c r="J23" s="45">
        <v>0</v>
      </c>
      <c r="K23" s="45">
        <v>20032</v>
      </c>
      <c r="L23" s="46"/>
      <c r="M23" s="46"/>
      <c r="N23" s="47" t="s">
        <v>906</v>
      </c>
      <c r="O23" s="47" t="s">
        <v>900</v>
      </c>
      <c r="P23" s="47"/>
    </row>
    <row r="24" s="1" customFormat="1" ht="28.8" spans="1:16">
      <c r="A24" s="42">
        <v>13247</v>
      </c>
      <c r="B24" s="43"/>
      <c r="C24" s="44" t="s">
        <v>907</v>
      </c>
      <c r="D24" s="45">
        <v>19778.35</v>
      </c>
      <c r="E24" s="45">
        <v>20606.1</v>
      </c>
      <c r="F24" s="45">
        <f t="shared" si="0"/>
        <v>-827.75</v>
      </c>
      <c r="G24" s="45">
        <v>0</v>
      </c>
      <c r="H24" s="45">
        <v>0</v>
      </c>
      <c r="I24" s="45">
        <v>0</v>
      </c>
      <c r="J24" s="45">
        <v>0</v>
      </c>
      <c r="K24" s="45">
        <v>19778.35</v>
      </c>
      <c r="L24" s="46"/>
      <c r="M24" s="46">
        <v>9</v>
      </c>
      <c r="N24" s="47" t="s">
        <v>890</v>
      </c>
      <c r="O24" s="47" t="s">
        <v>900</v>
      </c>
      <c r="P24" s="47"/>
    </row>
    <row r="25" s="1" customFormat="1" ht="28.8" spans="1:16">
      <c r="A25" s="42">
        <v>13486</v>
      </c>
      <c r="B25" s="43"/>
      <c r="C25" s="44" t="s">
        <v>908</v>
      </c>
      <c r="D25" s="45">
        <v>19315.25</v>
      </c>
      <c r="E25" s="45">
        <v>19315.25</v>
      </c>
      <c r="F25" s="45">
        <f t="shared" si="0"/>
        <v>0</v>
      </c>
      <c r="G25" s="45">
        <v>0</v>
      </c>
      <c r="H25" s="45">
        <v>0</v>
      </c>
      <c r="I25" s="45">
        <v>0</v>
      </c>
      <c r="J25" s="45">
        <v>0</v>
      </c>
      <c r="K25" s="45">
        <v>19315.25</v>
      </c>
      <c r="L25" s="46"/>
      <c r="M25" s="46"/>
      <c r="N25" s="47" t="s">
        <v>909</v>
      </c>
      <c r="O25" s="47" t="s">
        <v>900</v>
      </c>
      <c r="P25" s="47"/>
    </row>
    <row r="26" s="1" customFormat="1" ht="28.8" spans="1:16">
      <c r="A26" s="42">
        <v>13338</v>
      </c>
      <c r="B26" s="43"/>
      <c r="C26" s="44" t="s">
        <v>910</v>
      </c>
      <c r="D26" s="45">
        <v>18730.85</v>
      </c>
      <c r="E26" s="45">
        <v>18730.85</v>
      </c>
      <c r="F26" s="45">
        <f t="shared" si="0"/>
        <v>0</v>
      </c>
      <c r="G26" s="45">
        <v>0</v>
      </c>
      <c r="H26" s="45">
        <v>0</v>
      </c>
      <c r="I26" s="45">
        <v>0</v>
      </c>
      <c r="J26" s="45">
        <v>0</v>
      </c>
      <c r="K26" s="45">
        <v>18730.85</v>
      </c>
      <c r="L26" s="46"/>
      <c r="M26" s="46"/>
      <c r="N26" s="47" t="s">
        <v>906</v>
      </c>
      <c r="O26" s="47" t="s">
        <v>900</v>
      </c>
      <c r="P26" s="47"/>
    </row>
    <row r="27" s="1" customFormat="1" ht="28.8" spans="1:16">
      <c r="A27" s="42">
        <v>13234</v>
      </c>
      <c r="B27" s="43"/>
      <c r="C27" s="44" t="s">
        <v>911</v>
      </c>
      <c r="D27" s="45">
        <v>17336.84</v>
      </c>
      <c r="E27" s="45">
        <v>17336.84</v>
      </c>
      <c r="F27" s="45">
        <f t="shared" si="0"/>
        <v>0</v>
      </c>
      <c r="G27" s="45">
        <v>0</v>
      </c>
      <c r="H27" s="45">
        <v>0</v>
      </c>
      <c r="I27" s="45">
        <v>0</v>
      </c>
      <c r="J27" s="45">
        <v>0</v>
      </c>
      <c r="K27" s="45">
        <v>17336.84</v>
      </c>
      <c r="L27" s="46"/>
      <c r="M27" s="46"/>
      <c r="N27" s="47" t="s">
        <v>898</v>
      </c>
      <c r="O27" s="47" t="s">
        <v>912</v>
      </c>
      <c r="P27" s="47"/>
    </row>
    <row r="28" s="1" customFormat="1" ht="57.6" spans="1:16">
      <c r="A28" s="42">
        <v>13683</v>
      </c>
      <c r="B28" s="43"/>
      <c r="C28" s="44" t="s">
        <v>913</v>
      </c>
      <c r="D28" s="45">
        <v>16800.75</v>
      </c>
      <c r="E28" s="45">
        <v>16800.75</v>
      </c>
      <c r="F28" s="45">
        <f t="shared" si="0"/>
        <v>0</v>
      </c>
      <c r="G28" s="45">
        <v>0</v>
      </c>
      <c r="H28" s="45">
        <v>0</v>
      </c>
      <c r="I28" s="45">
        <v>0</v>
      </c>
      <c r="J28" s="45">
        <v>0</v>
      </c>
      <c r="K28" s="45">
        <v>16800.75</v>
      </c>
      <c r="L28" s="46"/>
      <c r="M28" s="46"/>
      <c r="N28" s="47" t="s">
        <v>914</v>
      </c>
      <c r="O28" s="47" t="s">
        <v>914</v>
      </c>
      <c r="P28" s="47"/>
    </row>
    <row r="29" s="1" customFormat="1" ht="43.2" spans="1:16">
      <c r="A29" s="42">
        <v>10306</v>
      </c>
      <c r="B29" s="43"/>
      <c r="C29" s="44" t="s">
        <v>915</v>
      </c>
      <c r="D29" s="45">
        <v>15628.15</v>
      </c>
      <c r="E29" s="45">
        <v>15628.15</v>
      </c>
      <c r="F29" s="45">
        <f t="shared" si="0"/>
        <v>0</v>
      </c>
      <c r="G29" s="45">
        <v>0</v>
      </c>
      <c r="H29" s="45">
        <v>0</v>
      </c>
      <c r="I29" s="45">
        <v>0</v>
      </c>
      <c r="J29" s="45">
        <v>0</v>
      </c>
      <c r="K29" s="45">
        <v>15628.15</v>
      </c>
      <c r="L29" s="46"/>
      <c r="M29" s="46"/>
      <c r="N29" s="47" t="s">
        <v>886</v>
      </c>
      <c r="O29" s="47" t="s">
        <v>886</v>
      </c>
      <c r="P29" s="47"/>
    </row>
    <row r="30" s="1" customFormat="1" ht="28.8" spans="1:16">
      <c r="A30" s="42">
        <v>13459</v>
      </c>
      <c r="B30" s="43" t="s">
        <v>916</v>
      </c>
      <c r="C30" s="44" t="s">
        <v>917</v>
      </c>
      <c r="D30" s="45">
        <v>14904.67</v>
      </c>
      <c r="E30" s="45">
        <v>14904.67</v>
      </c>
      <c r="F30" s="45">
        <f t="shared" si="0"/>
        <v>0</v>
      </c>
      <c r="G30" s="45">
        <v>0</v>
      </c>
      <c r="H30" s="45">
        <v>0</v>
      </c>
      <c r="I30" s="45">
        <v>0</v>
      </c>
      <c r="J30" s="45">
        <v>0</v>
      </c>
      <c r="K30" s="45">
        <v>14904.67</v>
      </c>
      <c r="L30" s="46"/>
      <c r="M30" s="46"/>
      <c r="N30" s="47" t="s">
        <v>898</v>
      </c>
      <c r="O30" s="47" t="s">
        <v>900</v>
      </c>
      <c r="P30" s="47"/>
    </row>
    <row r="31" s="1" customFormat="1" ht="28.8" spans="1:16">
      <c r="A31" s="42">
        <v>13401</v>
      </c>
      <c r="B31" s="43"/>
      <c r="C31" s="44" t="s">
        <v>918</v>
      </c>
      <c r="D31" s="45">
        <v>14340.22</v>
      </c>
      <c r="E31" s="45">
        <v>14340.22</v>
      </c>
      <c r="F31" s="45">
        <f t="shared" si="0"/>
        <v>0</v>
      </c>
      <c r="G31" s="45">
        <v>0</v>
      </c>
      <c r="H31" s="45">
        <v>0</v>
      </c>
      <c r="I31" s="45">
        <v>0</v>
      </c>
      <c r="J31" s="45">
        <v>0</v>
      </c>
      <c r="K31" s="45">
        <v>14340.22</v>
      </c>
      <c r="L31" s="46"/>
      <c r="M31" s="46"/>
      <c r="N31" s="47" t="s">
        <v>906</v>
      </c>
      <c r="O31" s="47" t="s">
        <v>900</v>
      </c>
      <c r="P31" s="47"/>
    </row>
    <row r="32" s="1" customFormat="1" ht="28.8" spans="1:16">
      <c r="A32" s="42">
        <v>12846</v>
      </c>
      <c r="B32" s="43" t="s">
        <v>919</v>
      </c>
      <c r="C32" s="44" t="s">
        <v>920</v>
      </c>
      <c r="D32" s="45">
        <v>14136.5</v>
      </c>
      <c r="E32" s="45">
        <v>14136.5</v>
      </c>
      <c r="F32" s="45">
        <f t="shared" si="0"/>
        <v>0</v>
      </c>
      <c r="G32" s="45">
        <v>0</v>
      </c>
      <c r="H32" s="45">
        <v>0</v>
      </c>
      <c r="I32" s="45">
        <v>0</v>
      </c>
      <c r="J32" s="45">
        <v>0</v>
      </c>
      <c r="K32" s="45">
        <v>14136.5</v>
      </c>
      <c r="L32" s="46"/>
      <c r="M32" s="46"/>
      <c r="N32" s="47" t="s">
        <v>895</v>
      </c>
      <c r="O32" s="47" t="s">
        <v>895</v>
      </c>
      <c r="P32" s="47"/>
    </row>
    <row r="33" s="1" customFormat="1" ht="28.8" spans="1:16">
      <c r="A33" s="42">
        <v>13458</v>
      </c>
      <c r="B33" s="43"/>
      <c r="C33" s="44" t="s">
        <v>921</v>
      </c>
      <c r="D33" s="45">
        <v>14059</v>
      </c>
      <c r="E33" s="45">
        <v>14059</v>
      </c>
      <c r="F33" s="45">
        <f t="shared" si="0"/>
        <v>0</v>
      </c>
      <c r="G33" s="45">
        <v>0</v>
      </c>
      <c r="H33" s="45">
        <v>0</v>
      </c>
      <c r="I33" s="45">
        <v>0</v>
      </c>
      <c r="J33" s="45">
        <v>0</v>
      </c>
      <c r="K33" s="45">
        <v>14059</v>
      </c>
      <c r="L33" s="46"/>
      <c r="M33" s="46"/>
      <c r="N33" s="47" t="s">
        <v>922</v>
      </c>
      <c r="O33" s="47" t="s">
        <v>900</v>
      </c>
      <c r="P33" s="47"/>
    </row>
    <row r="34" s="1" customFormat="1" ht="28.8" spans="1:16">
      <c r="A34" s="42">
        <v>13397</v>
      </c>
      <c r="B34" s="43"/>
      <c r="C34" s="44" t="s">
        <v>923</v>
      </c>
      <c r="D34" s="45">
        <v>11004.34</v>
      </c>
      <c r="E34" s="45">
        <v>11004.34</v>
      </c>
      <c r="F34" s="45">
        <f t="shared" si="0"/>
        <v>0</v>
      </c>
      <c r="G34" s="45">
        <v>0</v>
      </c>
      <c r="H34" s="45">
        <v>0</v>
      </c>
      <c r="I34" s="45">
        <v>0</v>
      </c>
      <c r="J34" s="45">
        <v>0</v>
      </c>
      <c r="K34" s="45">
        <v>11004.34</v>
      </c>
      <c r="L34" s="46"/>
      <c r="M34" s="46"/>
      <c r="N34" s="47" t="s">
        <v>906</v>
      </c>
      <c r="O34" s="47" t="s">
        <v>900</v>
      </c>
      <c r="P34" s="47"/>
    </row>
    <row r="35" s="1" customFormat="1" ht="43.2" spans="1:16">
      <c r="A35" s="54">
        <v>8677</v>
      </c>
      <c r="B35" s="55" t="s">
        <v>924</v>
      </c>
      <c r="C35" s="56" t="s">
        <v>925</v>
      </c>
      <c r="D35" s="57">
        <v>9903.99</v>
      </c>
      <c r="E35" s="57">
        <v>9903.99</v>
      </c>
      <c r="F35" s="57">
        <f t="shared" si="0"/>
        <v>0</v>
      </c>
      <c r="G35" s="57">
        <v>0</v>
      </c>
      <c r="H35" s="57">
        <v>0</v>
      </c>
      <c r="I35" s="57">
        <v>0</v>
      </c>
      <c r="J35" s="57">
        <v>0</v>
      </c>
      <c r="K35" s="57">
        <v>9903.99</v>
      </c>
      <c r="L35" s="58"/>
      <c r="M35" s="58"/>
      <c r="N35" s="59" t="s">
        <v>926</v>
      </c>
      <c r="O35" s="59" t="s">
        <v>895</v>
      </c>
      <c r="P35" s="59"/>
    </row>
    <row r="36" s="1" customFormat="1" ht="57.6" spans="1:16">
      <c r="A36" s="42">
        <v>14052</v>
      </c>
      <c r="B36" s="43"/>
      <c r="C36" s="44" t="s">
        <v>927</v>
      </c>
      <c r="D36" s="45">
        <v>1277.26</v>
      </c>
      <c r="E36" s="45">
        <v>1277.26</v>
      </c>
      <c r="F36" s="45">
        <f t="shared" si="0"/>
        <v>0</v>
      </c>
      <c r="G36" s="45">
        <v>0</v>
      </c>
      <c r="H36" s="45">
        <v>0</v>
      </c>
      <c r="I36" s="45">
        <v>0</v>
      </c>
      <c r="J36" s="45">
        <v>73.66</v>
      </c>
      <c r="K36" s="45">
        <v>1203.6</v>
      </c>
      <c r="L36" s="46"/>
      <c r="M36" s="46"/>
      <c r="N36" s="47" t="s">
        <v>914</v>
      </c>
      <c r="O36" s="47" t="s">
        <v>914</v>
      </c>
      <c r="P36" s="47"/>
    </row>
    <row r="37" s="1" customFormat="1" ht="57.6" spans="1:16">
      <c r="A37" s="42">
        <v>14002</v>
      </c>
      <c r="B37" s="43"/>
      <c r="C37" s="44" t="s">
        <v>928</v>
      </c>
      <c r="D37" s="45">
        <v>966.43</v>
      </c>
      <c r="E37" s="45">
        <v>966.43</v>
      </c>
      <c r="F37" s="45">
        <f t="shared" si="0"/>
        <v>0</v>
      </c>
      <c r="G37" s="45">
        <v>0</v>
      </c>
      <c r="H37" s="45">
        <v>0</v>
      </c>
      <c r="I37" s="45">
        <v>0</v>
      </c>
      <c r="J37" s="45">
        <v>55.74</v>
      </c>
      <c r="K37" s="45">
        <v>910.69</v>
      </c>
      <c r="L37" s="46"/>
      <c r="M37" s="46"/>
      <c r="N37" s="47" t="s">
        <v>914</v>
      </c>
      <c r="O37" s="47" t="s">
        <v>914</v>
      </c>
      <c r="P37" s="47"/>
    </row>
    <row r="38" s="1" customFormat="1" ht="57.6" spans="1:16">
      <c r="A38" s="42">
        <v>14042</v>
      </c>
      <c r="B38" s="43"/>
      <c r="C38" s="44" t="s">
        <v>929</v>
      </c>
      <c r="D38" s="45">
        <v>751.92</v>
      </c>
      <c r="E38" s="45">
        <v>751.92</v>
      </c>
      <c r="F38" s="45">
        <f t="shared" si="0"/>
        <v>0</v>
      </c>
      <c r="G38" s="45">
        <v>0</v>
      </c>
      <c r="H38" s="45">
        <v>0</v>
      </c>
      <c r="I38" s="45">
        <v>0</v>
      </c>
      <c r="J38" s="45">
        <v>43.36</v>
      </c>
      <c r="K38" s="45">
        <v>708.56</v>
      </c>
      <c r="L38" s="46"/>
      <c r="M38" s="46"/>
      <c r="N38" s="47" t="s">
        <v>914</v>
      </c>
      <c r="O38" s="47" t="s">
        <v>914</v>
      </c>
      <c r="P38" s="47"/>
    </row>
    <row r="39" s="1" customFormat="1" ht="57.6" spans="1:16">
      <c r="A39" s="42">
        <v>14038</v>
      </c>
      <c r="B39" s="43"/>
      <c r="C39" s="44" t="s">
        <v>930</v>
      </c>
      <c r="D39" s="45">
        <v>664.91</v>
      </c>
      <c r="E39" s="45">
        <v>664.91</v>
      </c>
      <c r="F39" s="45">
        <f t="shared" si="0"/>
        <v>0</v>
      </c>
      <c r="G39" s="45">
        <v>0</v>
      </c>
      <c r="H39" s="45">
        <v>0</v>
      </c>
      <c r="I39" s="45">
        <v>0</v>
      </c>
      <c r="J39" s="45">
        <v>38.35</v>
      </c>
      <c r="K39" s="45">
        <v>626.56</v>
      </c>
      <c r="L39" s="46"/>
      <c r="M39" s="46"/>
      <c r="N39" s="47" t="s">
        <v>914</v>
      </c>
      <c r="O39" s="47" t="s">
        <v>914</v>
      </c>
      <c r="P39" s="47"/>
    </row>
    <row r="40" s="1" customFormat="1" ht="57.6" spans="1:16">
      <c r="A40" s="54">
        <v>13630</v>
      </c>
      <c r="B40" s="55"/>
      <c r="C40" s="56" t="s">
        <v>931</v>
      </c>
      <c r="D40" s="57">
        <v>353</v>
      </c>
      <c r="E40" s="57">
        <v>1268.25</v>
      </c>
      <c r="F40" s="57">
        <f t="shared" si="0"/>
        <v>-915.25</v>
      </c>
      <c r="G40" s="57">
        <v>0</v>
      </c>
      <c r="H40" s="57">
        <v>0</v>
      </c>
      <c r="I40" s="57">
        <v>0</v>
      </c>
      <c r="J40" s="57">
        <v>0</v>
      </c>
      <c r="K40" s="57">
        <v>353</v>
      </c>
      <c r="L40" s="58"/>
      <c r="M40" s="58">
        <v>10</v>
      </c>
      <c r="N40" s="59" t="s">
        <v>932</v>
      </c>
      <c r="O40" s="59" t="s">
        <v>887</v>
      </c>
      <c r="P40" s="59"/>
    </row>
    <row r="41" s="1" customFormat="1" ht="28.8" spans="1:16">
      <c r="A41" s="42">
        <v>13156</v>
      </c>
      <c r="B41" s="43" t="s">
        <v>933</v>
      </c>
      <c r="C41" s="44" t="s">
        <v>934</v>
      </c>
      <c r="D41" s="45">
        <v>343.6</v>
      </c>
      <c r="E41" s="45">
        <v>343.6</v>
      </c>
      <c r="F41" s="45">
        <f t="shared" si="0"/>
        <v>0</v>
      </c>
      <c r="G41" s="45">
        <v>0</v>
      </c>
      <c r="H41" s="45">
        <v>0</v>
      </c>
      <c r="I41" s="45">
        <v>0</v>
      </c>
      <c r="J41" s="45">
        <v>19.83</v>
      </c>
      <c r="K41" s="45">
        <v>323.77</v>
      </c>
      <c r="L41" s="46"/>
      <c r="M41" s="46"/>
      <c r="N41" s="47" t="s">
        <v>895</v>
      </c>
      <c r="O41" s="47" t="s">
        <v>890</v>
      </c>
      <c r="P41" s="47"/>
    </row>
    <row r="42" spans="1:16">
      <c r="E42" s="29"/>
    </row>
    <row r="43" spans="1:16">
      <c r="E43" s="29"/>
    </row>
    <row r="44" spans="1:16">
      <c r="E44" s="29"/>
    </row>
    <row r="45" spans="1:16">
      <c r="E45" s="29"/>
    </row>
    <row r="46" spans="1:16">
      <c r="E46" s="29"/>
    </row>
    <row r="47" spans="1:16">
      <c r="E47" s="29"/>
    </row>
    <row r="48" spans="1:16">
      <c r="E48" s="29"/>
    </row>
    <row r="49" spans="5:5">
      <c r="E49" s="29"/>
    </row>
    <row r="50" spans="5:5">
      <c r="E50" s="29"/>
    </row>
  </sheetData>
  <autoFilter xmlns:etc="http://www.wps.cn/officeDocument/2017/etCustomData" ref="A8:P41" etc:filterBottomFollowUsedRange="0">
    <sortState ref="A8:P41">
      <sortCondition ref="H8:H9" descending="1"/>
    </sortState>
    <extLst/>
  </autoFilter>
  <mergeCells count="19">
    <mergeCell ref="E1:I1"/>
    <mergeCell ref="G7:K7"/>
    <mergeCell ref="A8:A9"/>
    <mergeCell ref="B8:B9"/>
    <mergeCell ref="C1:C2"/>
    <mergeCell ref="C8:C9"/>
    <mergeCell ref="D8:D9"/>
    <mergeCell ref="E8:E9"/>
    <mergeCell ref="F8:F9"/>
    <mergeCell ref="G8:G9"/>
    <mergeCell ref="H8:H9"/>
    <mergeCell ref="I8:I9"/>
    <mergeCell ref="J8:J9"/>
    <mergeCell ref="K8:K9"/>
    <mergeCell ref="L8:L9"/>
    <mergeCell ref="M8:M9"/>
    <mergeCell ref="N8:N9"/>
    <mergeCell ref="O8:O9"/>
    <mergeCell ref="P8:P9"/>
  </mergeCells>
  <conditionalFormatting sqref="D5:I5">
    <cfRule type="cellIs" dxfId="0" priority="1" operator="lessThan">
      <formula>0</formula>
    </cfRule>
    <cfRule type="cellIs" dxfId="1" priority="2" operator="greaterThan">
      <formula>0</formula>
    </cfRule>
  </conditionalFormatting>
  <pageMargins left="0.7" right="0.7" top="0.75" bottom="0.75" header="0.3" footer="0.3"/>
  <pageSetup paperSize="1" orientation="portrait"/>
  <headerFooter>
    <oddFooter>&amp;L&amp;1#&amp;"Calibri"&amp;10&amp;K000000John Keells Group -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5DDF4F6-276D-407C-A8F0-67C879BB8E66}">
  <ds:schemaRefs/>
</ds:datastoreItem>
</file>

<file path=customXml/itemProps2.xml><?xml version="1.0" encoding="utf-8"?>
<ds:datastoreItem xmlns:ds="http://schemas.openxmlformats.org/officeDocument/2006/customXml" ds:itemID="{1A94160B-DA53-4788-86EC-F302A8292E9C}">
  <ds:schemaRefs/>
</ds:datastoreItem>
</file>

<file path=customXml/itemProps3.xml><?xml version="1.0" encoding="utf-8"?>
<ds:datastoreItem xmlns:ds="http://schemas.openxmlformats.org/officeDocument/2006/customXml" ds:itemID="{F0829377-2EAF-4A65-A774-5ED25B1B9228}">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19</vt:i4>
      </vt:variant>
    </vt:vector>
  </HeadingPairs>
  <TitlesOfParts>
    <vt:vector size="19" baseType="lpstr">
      <vt:lpstr>Provision</vt:lpstr>
      <vt:lpstr>Nel</vt:lpstr>
      <vt:lpstr>Hal</vt:lpstr>
      <vt:lpstr>NEL - summary</vt:lpstr>
      <vt:lpstr>Nel - sum</vt:lpstr>
      <vt:lpstr>Kuru-Ageing</vt:lpstr>
      <vt:lpstr>HAL - summary</vt:lpstr>
      <vt:lpstr>HAL - sum</vt:lpstr>
      <vt:lpstr>Hin</vt:lpstr>
      <vt:lpstr>HIN - summary</vt:lpstr>
      <vt:lpstr>HIn - sum</vt:lpstr>
      <vt:lpstr>Kur</vt:lpstr>
      <vt:lpstr>KUR - summary</vt:lpstr>
      <vt:lpstr>Kur - sum</vt:lpstr>
      <vt:lpstr>Npw</vt:lpstr>
      <vt:lpstr>Kar</vt:lpstr>
      <vt:lpstr>NPW - summary</vt:lpstr>
      <vt:lpstr>NPW - sum</vt:lpstr>
      <vt:lpstr>KAR - sum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ChinthaK</cp:lastModifiedBy>
  <dcterms:created xsi:type="dcterms:W3CDTF">2006-09-16T00:00:00Z</dcterms:created>
  <dcterms:modified xsi:type="dcterms:W3CDTF">2026-03-19T04:25:17Z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0x0101004CF51DC0291EFB4CB8EE2E8DEF3E1F84</vt:lpwstr>
  </property>
  <property fmtid="{D5CDD505-2E9C-101B-9397-08002B2CF9AE}" pid="3" name="MSIP_Label_cc6fdd9f-0235-4634-aee9-f2d909682501_Enabled">
    <vt:lpwstr>true</vt:lpwstr>
  </property>
  <property fmtid="{D5CDD505-2E9C-101B-9397-08002B2CF9AE}" pid="4" name="MSIP_Label_cc6fdd9f-0235-4634-aee9-f2d909682501_SetDate">
    <vt:lpwstr>2022-10-17T05:29:39Z</vt:lpwstr>
  </property>
  <property fmtid="{D5CDD505-2E9C-101B-9397-08002B2CF9AE}" pid="5" name="MSIP_Label_cc6fdd9f-0235-4634-aee9-f2d909682501_Method">
    <vt:lpwstr>Standard</vt:lpwstr>
  </property>
  <property fmtid="{D5CDD505-2E9C-101B-9397-08002B2CF9AE}" pid="6" name="MSIP_Label_cc6fdd9f-0235-4634-aee9-f2d909682501_Name">
    <vt:lpwstr>cc6fdd9f-0235-4634-aee9-f2d909682501</vt:lpwstr>
  </property>
  <property fmtid="{D5CDD505-2E9C-101B-9397-08002B2CF9AE}" pid="7" name="MSIP_Label_cc6fdd9f-0235-4634-aee9-f2d909682501_SiteId">
    <vt:lpwstr>9d95cde8-c4ec-4b9c-8ee2-249d44b79acf</vt:lpwstr>
  </property>
  <property fmtid="{D5CDD505-2E9C-101B-9397-08002B2CF9AE}" pid="8" name="MSIP_Label_cc6fdd9f-0235-4634-aee9-f2d909682501_ActionId">
    <vt:lpwstr>385532dd-da05-4a2e-8371-33805f312cb2</vt:lpwstr>
  </property>
  <property fmtid="{D5CDD505-2E9C-101B-9397-08002B2CF9AE}" pid="9" name="MSIP_Label_cc6fdd9f-0235-4634-aee9-f2d909682501_ContentBits">
    <vt:lpwstr>2</vt:lpwstr>
  </property>
  <property fmtid="{D5CDD505-2E9C-101B-9397-08002B2CF9AE}" pid="10" name="ICV">
    <vt:lpwstr>9DEF8E30F846421992151EA93386C6EC_13</vt:lpwstr>
  </property>
  <property fmtid="{D5CDD505-2E9C-101B-9397-08002B2CF9AE}" pid="11" name="KSOProductBuildVer">
    <vt:lpwstr>1033-12.1.0.25242</vt:lpwstr>
  </property>
  <property fmtid="{D5CDD505-2E9C-101B-9397-08002B2CF9AE}" pid="12" name="CalculationRule">
    <vt:i4>0</vt:i4>
  </property>
</Properties>
</file>